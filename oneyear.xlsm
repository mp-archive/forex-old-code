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195" windowHeight="11505"/>
  </bookViews>
  <sheets>
    <sheet name="done" sheetId="4" r:id="rId1"/>
    <sheet name="todo" sheetId="1" r:id="rId2"/>
    <sheet name="Munka2" sheetId="2" r:id="rId3"/>
    <sheet name="Munka3" sheetId="3" r:id="rId4"/>
  </sheets>
  <calcPr calcId="145621"/>
</workbook>
</file>

<file path=xl/calcChain.xml><?xml version="1.0" encoding="utf-8"?>
<calcChain xmlns="http://schemas.openxmlformats.org/spreadsheetml/2006/main">
  <c r="D12" i="4" l="1"/>
  <c r="L10" i="3" l="1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D7" i="3"/>
  <c r="E7" i="3" s="1"/>
  <c r="C8" i="3"/>
  <c r="C22" i="3" s="1"/>
  <c r="C7" i="3"/>
  <c r="F5" i="3"/>
  <c r="H4" i="3"/>
  <c r="H5" i="3" s="1"/>
  <c r="G4" i="3"/>
  <c r="G5" i="3" s="1"/>
  <c r="F4" i="3"/>
  <c r="A59" i="3"/>
  <c r="A60" i="3"/>
  <c r="A61" i="3" s="1"/>
  <c r="A62" i="3" s="1"/>
  <c r="A55" i="3"/>
  <c r="A56" i="3"/>
  <c r="A57" i="3" s="1"/>
  <c r="A58" i="3" s="1"/>
  <c r="A49" i="3"/>
  <c r="A50" i="3"/>
  <c r="A51" i="3" s="1"/>
  <c r="A52" i="3" s="1"/>
  <c r="A53" i="3" s="1"/>
  <c r="A54" i="3" s="1"/>
  <c r="A13" i="3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12" i="3"/>
  <c r="C4" i="3"/>
  <c r="D4" i="3"/>
  <c r="D5" i="3" s="1"/>
  <c r="E4" i="3"/>
  <c r="I4" i="3"/>
  <c r="C5" i="3"/>
  <c r="E5" i="3"/>
  <c r="I5" i="3"/>
  <c r="B5" i="3"/>
  <c r="B4" i="3"/>
  <c r="C27" i="3" l="1"/>
  <c r="C31" i="3"/>
  <c r="C35" i="3"/>
  <c r="C39" i="3"/>
  <c r="C43" i="3"/>
  <c r="C47" i="3"/>
  <c r="C53" i="3"/>
  <c r="C57" i="3"/>
  <c r="C61" i="3"/>
  <c r="C26" i="3"/>
  <c r="D8" i="3"/>
  <c r="C25" i="3"/>
  <c r="C23" i="3"/>
  <c r="C21" i="3"/>
  <c r="C20" i="3"/>
  <c r="C19" i="3"/>
  <c r="C18" i="3"/>
  <c r="C17" i="3"/>
  <c r="C16" i="3"/>
  <c r="C15" i="3"/>
  <c r="C14" i="3"/>
  <c r="C13" i="3"/>
  <c r="C12" i="3"/>
  <c r="C11" i="3"/>
  <c r="C29" i="3"/>
  <c r="C33" i="3"/>
  <c r="C37" i="3"/>
  <c r="C41" i="3"/>
  <c r="C45" i="3"/>
  <c r="C49" i="3"/>
  <c r="C51" i="3"/>
  <c r="C55" i="3"/>
  <c r="C59" i="3"/>
  <c r="C24" i="3"/>
  <c r="C28" i="3"/>
  <c r="C30" i="3"/>
  <c r="C32" i="3"/>
  <c r="C34" i="3"/>
  <c r="C36" i="3"/>
  <c r="C38" i="3"/>
  <c r="C40" i="3"/>
  <c r="C42" i="3"/>
  <c r="C44" i="3"/>
  <c r="C46" i="3"/>
  <c r="C48" i="3"/>
  <c r="C50" i="3"/>
  <c r="C52" i="3"/>
  <c r="C54" i="3"/>
  <c r="C56" i="3"/>
  <c r="C58" i="3"/>
  <c r="C60" i="3"/>
  <c r="C62" i="3"/>
  <c r="D14" i="2"/>
  <c r="D11" i="2"/>
  <c r="D62" i="3" l="1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18" i="3"/>
  <c r="D14" i="3"/>
  <c r="D13" i="3"/>
  <c r="D20" i="3"/>
  <c r="D12" i="3"/>
  <c r="D19" i="3"/>
  <c r="D15" i="3"/>
  <c r="D11" i="3"/>
  <c r="D17" i="3"/>
  <c r="D16" i="3"/>
  <c r="E8" i="3"/>
  <c r="H2" i="4"/>
  <c r="D11" i="4"/>
  <c r="D10" i="4"/>
  <c r="E62" i="3" l="1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3" i="3"/>
  <c r="E21" i="3"/>
  <c r="E17" i="3"/>
  <c r="E16" i="3"/>
  <c r="E22" i="3"/>
  <c r="E15" i="3"/>
  <c r="E24" i="3"/>
  <c r="E18" i="3"/>
  <c r="E14" i="3"/>
  <c r="E13" i="3"/>
  <c r="E20" i="3"/>
  <c r="E12" i="3"/>
  <c r="E19" i="3"/>
  <c r="E11" i="3"/>
  <c r="F8" i="3"/>
  <c r="D9" i="4"/>
  <c r="F24" i="3" l="1"/>
  <c r="F22" i="3"/>
  <c r="F20" i="3"/>
  <c r="F19" i="3"/>
  <c r="F18" i="3"/>
  <c r="F17" i="3"/>
  <c r="F16" i="3"/>
  <c r="F15" i="3"/>
  <c r="F14" i="3"/>
  <c r="F13" i="3"/>
  <c r="F12" i="3"/>
  <c r="F11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8" i="3"/>
  <c r="F47" i="3"/>
  <c r="F45" i="3"/>
  <c r="F43" i="3"/>
  <c r="F41" i="3"/>
  <c r="F39" i="3"/>
  <c r="F37" i="3"/>
  <c r="F36" i="3"/>
  <c r="F35" i="3"/>
  <c r="F34" i="3"/>
  <c r="F33" i="3"/>
  <c r="F32" i="3"/>
  <c r="F31" i="3"/>
  <c r="F30" i="3"/>
  <c r="F29" i="3"/>
  <c r="F28" i="3"/>
  <c r="F27" i="3"/>
  <c r="F49" i="3"/>
  <c r="F46" i="3"/>
  <c r="F44" i="3"/>
  <c r="F42" i="3"/>
  <c r="F40" i="3"/>
  <c r="F38" i="3"/>
  <c r="F26" i="3"/>
  <c r="F25" i="3"/>
  <c r="F23" i="3"/>
  <c r="F21" i="3"/>
  <c r="G8" i="3"/>
  <c r="C8" i="4"/>
  <c r="G62" i="3" l="1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4" i="3"/>
  <c r="G22" i="3"/>
  <c r="G20" i="3"/>
  <c r="G19" i="3"/>
  <c r="G18" i="3"/>
  <c r="G17" i="3"/>
  <c r="G16" i="3"/>
  <c r="G15" i="3"/>
  <c r="G14" i="3"/>
  <c r="G13" i="3"/>
  <c r="G12" i="3"/>
  <c r="G11" i="3"/>
  <c r="G21" i="3"/>
  <c r="G25" i="3"/>
  <c r="G23" i="3"/>
  <c r="H8" i="3"/>
  <c r="S15" i="4"/>
  <c r="T15" i="4" s="1"/>
  <c r="G2" i="4"/>
  <c r="H62" i="3" l="1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6" i="3"/>
  <c r="H12" i="3"/>
  <c r="H19" i="3"/>
  <c r="H11" i="3"/>
  <c r="H18" i="3"/>
  <c r="H14" i="3"/>
  <c r="H17" i="3"/>
  <c r="H13" i="3"/>
  <c r="H15" i="3"/>
  <c r="I8" i="3"/>
  <c r="S3" i="4"/>
  <c r="S4" i="4" s="1"/>
  <c r="F1" i="4"/>
  <c r="I62" i="3" l="1"/>
  <c r="J62" i="3" s="1"/>
  <c r="I61" i="3"/>
  <c r="J61" i="3" s="1"/>
  <c r="I60" i="3"/>
  <c r="J60" i="3" s="1"/>
  <c r="I59" i="3"/>
  <c r="J59" i="3" s="1"/>
  <c r="I58" i="3"/>
  <c r="J58" i="3" s="1"/>
  <c r="I57" i="3"/>
  <c r="J57" i="3" s="1"/>
  <c r="I56" i="3"/>
  <c r="J56" i="3" s="1"/>
  <c r="I55" i="3"/>
  <c r="J55" i="3" s="1"/>
  <c r="I54" i="3"/>
  <c r="J54" i="3" s="1"/>
  <c r="I53" i="3"/>
  <c r="J53" i="3" s="1"/>
  <c r="I52" i="3"/>
  <c r="J52" i="3" s="1"/>
  <c r="I51" i="3"/>
  <c r="J51" i="3" s="1"/>
  <c r="I50" i="3"/>
  <c r="J50" i="3" s="1"/>
  <c r="I49" i="3"/>
  <c r="J49" i="3" s="1"/>
  <c r="I48" i="3"/>
  <c r="J48" i="3" s="1"/>
  <c r="I47" i="3"/>
  <c r="J47" i="3" s="1"/>
  <c r="I46" i="3"/>
  <c r="J46" i="3" s="1"/>
  <c r="I45" i="3"/>
  <c r="J45" i="3" s="1"/>
  <c r="I44" i="3"/>
  <c r="J44" i="3" s="1"/>
  <c r="I43" i="3"/>
  <c r="J43" i="3" s="1"/>
  <c r="I42" i="3"/>
  <c r="J42" i="3" s="1"/>
  <c r="I41" i="3"/>
  <c r="J41" i="3" s="1"/>
  <c r="I40" i="3"/>
  <c r="J40" i="3" s="1"/>
  <c r="I39" i="3"/>
  <c r="J39" i="3" s="1"/>
  <c r="I38" i="3"/>
  <c r="J38" i="3" s="1"/>
  <c r="I37" i="3"/>
  <c r="J37" i="3" s="1"/>
  <c r="I36" i="3"/>
  <c r="J36" i="3" s="1"/>
  <c r="I35" i="3"/>
  <c r="J35" i="3" s="1"/>
  <c r="I34" i="3"/>
  <c r="J34" i="3" s="1"/>
  <c r="I33" i="3"/>
  <c r="J33" i="3" s="1"/>
  <c r="I32" i="3"/>
  <c r="J32" i="3" s="1"/>
  <c r="I31" i="3"/>
  <c r="J31" i="3" s="1"/>
  <c r="I30" i="3"/>
  <c r="J30" i="3" s="1"/>
  <c r="I29" i="3"/>
  <c r="J29" i="3" s="1"/>
  <c r="I28" i="3"/>
  <c r="J28" i="3" s="1"/>
  <c r="I27" i="3"/>
  <c r="J27" i="3" s="1"/>
  <c r="I26" i="3"/>
  <c r="J26" i="3" s="1"/>
  <c r="I25" i="3"/>
  <c r="J25" i="3" s="1"/>
  <c r="I23" i="3"/>
  <c r="J23" i="3" s="1"/>
  <c r="I21" i="3"/>
  <c r="J21" i="3" s="1"/>
  <c r="I20" i="3"/>
  <c r="J20" i="3" s="1"/>
  <c r="I19" i="3"/>
  <c r="J19" i="3" s="1"/>
  <c r="I14" i="3"/>
  <c r="J14" i="3" s="1"/>
  <c r="I24" i="3"/>
  <c r="J24" i="3" s="1"/>
  <c r="I16" i="3"/>
  <c r="J16" i="3" s="1"/>
  <c r="I12" i="3"/>
  <c r="J12" i="3" s="1"/>
  <c r="I15" i="3"/>
  <c r="J15" i="3" s="1"/>
  <c r="I11" i="3"/>
  <c r="J11" i="3" s="1"/>
  <c r="K11" i="3" s="1"/>
  <c r="L11" i="3" s="1"/>
  <c r="I22" i="3"/>
  <c r="J22" i="3" s="1"/>
  <c r="I18" i="3"/>
  <c r="J18" i="3" s="1"/>
  <c r="I17" i="3"/>
  <c r="J17" i="3" s="1"/>
  <c r="I13" i="3"/>
  <c r="J13" i="3" s="1"/>
  <c r="D74" i="4"/>
  <c r="D70" i="4"/>
  <c r="D66" i="4"/>
  <c r="D62" i="4"/>
  <c r="D58" i="4"/>
  <c r="D51" i="4"/>
  <c r="D47" i="4"/>
  <c r="D43" i="4"/>
  <c r="D39" i="4"/>
  <c r="D35" i="4"/>
  <c r="D50" i="4"/>
  <c r="D46" i="4"/>
  <c r="D42" i="4"/>
  <c r="D72" i="4"/>
  <c r="D64" i="4"/>
  <c r="D60" i="4"/>
  <c r="D49" i="4"/>
  <c r="D41" i="4"/>
  <c r="D71" i="4"/>
  <c r="D63" i="4"/>
  <c r="D55" i="4"/>
  <c r="D48" i="4"/>
  <c r="D40" i="4"/>
  <c r="D73" i="4"/>
  <c r="D69" i="4"/>
  <c r="D65" i="4"/>
  <c r="D61" i="4"/>
  <c r="D57" i="4"/>
  <c r="D54" i="4"/>
  <c r="D38" i="4"/>
  <c r="D68" i="4"/>
  <c r="D56" i="4"/>
  <c r="D53" i="4"/>
  <c r="D45" i="4"/>
  <c r="D37" i="4"/>
  <c r="D67" i="4"/>
  <c r="D59" i="4"/>
  <c r="D52" i="4"/>
  <c r="D44" i="4"/>
  <c r="D36" i="4"/>
  <c r="S5" i="4"/>
  <c r="T4" i="4" s="1"/>
  <c r="T3" i="4"/>
  <c r="T2" i="4"/>
  <c r="D25" i="4"/>
  <c r="D20" i="4"/>
  <c r="D33" i="4"/>
  <c r="D17" i="4"/>
  <c r="D28" i="4"/>
  <c r="D32" i="4"/>
  <c r="D24" i="4"/>
  <c r="D16" i="4"/>
  <c r="D29" i="4"/>
  <c r="D21" i="4"/>
  <c r="D13" i="4"/>
  <c r="D31" i="4"/>
  <c r="D27" i="4"/>
  <c r="D23" i="4"/>
  <c r="D19" i="4"/>
  <c r="D15" i="4"/>
  <c r="D34" i="4"/>
  <c r="D30" i="4"/>
  <c r="D26" i="4"/>
  <c r="D22" i="4"/>
  <c r="D18" i="4"/>
  <c r="D14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2" i="4"/>
  <c r="R3" i="4"/>
  <c r="R4" i="4"/>
  <c r="R15" i="4"/>
  <c r="R2" i="4"/>
  <c r="K12" i="3" l="1"/>
  <c r="L12" i="3" s="1"/>
  <c r="R5" i="4"/>
  <c r="S6" i="4"/>
  <c r="T5" i="4" s="1"/>
  <c r="D8" i="4"/>
  <c r="D7" i="4"/>
  <c r="K13" i="3" l="1"/>
  <c r="K14" i="3" s="1"/>
  <c r="S7" i="4"/>
  <c r="T6" i="4" s="1"/>
  <c r="R6" i="4"/>
  <c r="L13" i="3" l="1"/>
  <c r="K15" i="3"/>
  <c r="L14" i="3"/>
  <c r="S8" i="4"/>
  <c r="T7" i="4" s="1"/>
  <c r="R7" i="4"/>
  <c r="A5" i="4"/>
  <c r="A6" i="4"/>
  <c r="A4" i="4"/>
  <c r="K16" i="3" l="1"/>
  <c r="L15" i="3"/>
  <c r="S9" i="4"/>
  <c r="R8" i="4"/>
  <c r="H6" i="4"/>
  <c r="I6" i="4" s="1"/>
  <c r="D6" i="4"/>
  <c r="E6" i="4" s="1"/>
  <c r="B6" i="4"/>
  <c r="D5" i="4"/>
  <c r="K17" i="3" l="1"/>
  <c r="L16" i="3"/>
  <c r="S10" i="4"/>
  <c r="T9" i="4" s="1"/>
  <c r="R9" i="4"/>
  <c r="O318" i="4"/>
  <c r="O382" i="4"/>
  <c r="O474" i="4"/>
  <c r="O441" i="4"/>
  <c r="O486" i="4"/>
  <c r="O425" i="4"/>
  <c r="O494" i="4"/>
  <c r="O424" i="4"/>
  <c r="O495" i="4"/>
  <c r="O383" i="4"/>
  <c r="O449" i="4"/>
  <c r="O325" i="4"/>
  <c r="O489" i="4"/>
  <c r="O472" i="4"/>
  <c r="O456" i="4"/>
  <c r="O437" i="4"/>
  <c r="O405" i="4"/>
  <c r="O371" i="4"/>
  <c r="O338" i="4"/>
  <c r="O306" i="4"/>
  <c r="O390" i="4"/>
  <c r="O302" i="4"/>
  <c r="O408" i="4"/>
  <c r="O458" i="4"/>
  <c r="O909" i="4"/>
  <c r="O343" i="4"/>
  <c r="O391" i="4"/>
  <c r="O465" i="4"/>
  <c r="O461" i="4"/>
  <c r="O482" i="4"/>
  <c r="O358" i="4"/>
  <c r="O450" i="4"/>
  <c r="O310" i="4"/>
  <c r="O440" i="4"/>
  <c r="O501" i="4"/>
  <c r="O485" i="4"/>
  <c r="O468" i="4"/>
  <c r="O452" i="4"/>
  <c r="O429" i="4"/>
  <c r="O395" i="4"/>
  <c r="O363" i="4"/>
  <c r="O330" i="4"/>
  <c r="O499" i="4"/>
  <c r="O417" i="4"/>
  <c r="O374" i="4"/>
  <c r="O307" i="4"/>
  <c r="O323" i="4"/>
  <c r="O339" i="4"/>
  <c r="O356" i="4"/>
  <c r="O372" i="4"/>
  <c r="O388" i="4"/>
  <c r="O406" i="4"/>
  <c r="O422" i="4"/>
  <c r="O438" i="4"/>
  <c r="O308" i="4"/>
  <c r="O324" i="4"/>
  <c r="O341" i="4"/>
  <c r="O357" i="4"/>
  <c r="O373" i="4"/>
  <c r="O389" i="4"/>
  <c r="O407" i="4"/>
  <c r="O483" i="4"/>
  <c r="O333" i="4"/>
  <c r="O317" i="4"/>
  <c r="O326" i="4"/>
  <c r="O457" i="4"/>
  <c r="O416" i="4"/>
  <c r="O476" i="4"/>
  <c r="O444" i="4"/>
  <c r="O379" i="4"/>
  <c r="O314" i="4"/>
  <c r="O375" i="4"/>
  <c r="O453" i="4"/>
  <c r="O454" i="4"/>
  <c r="O446" i="4"/>
  <c r="O366" i="4"/>
  <c r="O400" i="4"/>
  <c r="O473" i="4"/>
  <c r="O493" i="4"/>
  <c r="O460" i="4"/>
  <c r="O413" i="4"/>
  <c r="O347" i="4"/>
  <c r="O478" i="4"/>
  <c r="O334" i="4"/>
  <c r="O498" i="4"/>
  <c r="O311" i="4"/>
  <c r="O331" i="4"/>
  <c r="O352" i="4"/>
  <c r="O376" i="4"/>
  <c r="O397" i="4"/>
  <c r="O418" i="4"/>
  <c r="O316" i="4"/>
  <c r="O336" i="4"/>
  <c r="O361" i="4"/>
  <c r="O381" i="4"/>
  <c r="O402" i="4"/>
  <c r="O423" i="4"/>
  <c r="O439" i="4"/>
  <c r="O496" i="4"/>
  <c r="O479" i="4"/>
  <c r="O463" i="4"/>
  <c r="O447" i="4"/>
  <c r="O420" i="4"/>
  <c r="O386" i="4"/>
  <c r="O354" i="4"/>
  <c r="O321" i="4"/>
  <c r="O995" i="4"/>
  <c r="O963" i="4"/>
  <c r="O922" i="4"/>
  <c r="O879" i="4"/>
  <c r="O836" i="4"/>
  <c r="O778" i="4"/>
  <c r="O684" i="4"/>
  <c r="O584" i="4"/>
  <c r="O994" i="4"/>
  <c r="O966" i="4"/>
  <c r="O926" i="4"/>
  <c r="O883" i="4"/>
  <c r="O841" i="4"/>
  <c r="O784" i="4"/>
  <c r="O693" i="4"/>
  <c r="O342" i="4"/>
  <c r="O466" i="4"/>
  <c r="O448" i="4"/>
  <c r="O322" i="4"/>
  <c r="O462" i="4"/>
  <c r="O350" i="4"/>
  <c r="O315" i="4"/>
  <c r="O344" i="4"/>
  <c r="O368" i="4"/>
  <c r="O401" i="4"/>
  <c r="O430" i="4"/>
  <c r="O320" i="4"/>
  <c r="O349" i="4"/>
  <c r="O377" i="4"/>
  <c r="O411" i="4"/>
  <c r="O431" i="4"/>
  <c r="O500" i="4"/>
  <c r="O475" i="4"/>
  <c r="O455" i="4"/>
  <c r="O428" i="4"/>
  <c r="O378" i="4"/>
  <c r="O337" i="4"/>
  <c r="O979" i="4"/>
  <c r="O933" i="4"/>
  <c r="O869" i="4"/>
  <c r="O806" i="4"/>
  <c r="O705" i="4"/>
  <c r="O552" i="4"/>
  <c r="O982" i="4"/>
  <c r="O937" i="4"/>
  <c r="O873" i="4"/>
  <c r="O812" i="4"/>
  <c r="O714" i="4"/>
  <c r="O597" i="4"/>
  <c r="O993" i="4"/>
  <c r="O961" i="4"/>
  <c r="O919" i="4"/>
  <c r="O893" i="4"/>
  <c r="O871" i="4"/>
  <c r="O850" i="4"/>
  <c r="O825" i="4"/>
  <c r="O796" i="4"/>
  <c r="O764" i="4"/>
  <c r="O721" i="4"/>
  <c r="O678" i="4"/>
  <c r="O636" i="4"/>
  <c r="O576" i="4"/>
  <c r="O999" i="4"/>
  <c r="O967" i="4"/>
  <c r="O927" i="4"/>
  <c r="O885" i="4"/>
  <c r="O842" i="4"/>
  <c r="O785" i="4"/>
  <c r="O716" i="4"/>
  <c r="O630" i="4"/>
  <c r="O998" i="4"/>
  <c r="O962" i="4"/>
  <c r="O921" i="4"/>
  <c r="O878" i="4"/>
  <c r="O833" i="4"/>
  <c r="O399" i="4"/>
  <c r="O351" i="4"/>
  <c r="O432" i="4"/>
  <c r="O481" i="4"/>
  <c r="O387" i="4"/>
  <c r="O327" i="4"/>
  <c r="O360" i="4"/>
  <c r="O384" i="4"/>
  <c r="O414" i="4"/>
  <c r="O304" i="4"/>
  <c r="O332" i="4"/>
  <c r="O365" i="4"/>
  <c r="O393" i="4"/>
  <c r="O419" i="4"/>
  <c r="O443" i="4"/>
  <c r="O488" i="4"/>
  <c r="O467" i="4"/>
  <c r="O442" i="4"/>
  <c r="O403" i="4"/>
  <c r="O362" i="4"/>
  <c r="O313" i="4"/>
  <c r="O954" i="4"/>
  <c r="O901" i="4"/>
  <c r="O847" i="4"/>
  <c r="O758" i="4"/>
  <c r="O641" i="4"/>
  <c r="O504" i="4"/>
  <c r="O958" i="4"/>
  <c r="O905" i="4"/>
  <c r="O851" i="4"/>
  <c r="O768" i="4"/>
  <c r="O650" i="4"/>
  <c r="O533" i="4"/>
  <c r="O977" i="4"/>
  <c r="O941" i="4"/>
  <c r="O903" i="4"/>
  <c r="O882" i="4"/>
  <c r="O861" i="4"/>
  <c r="O838" i="4"/>
  <c r="O810" i="4"/>
  <c r="O782" i="4"/>
  <c r="O742" i="4"/>
  <c r="O700" i="4"/>
  <c r="O657" i="4"/>
  <c r="O608" i="4"/>
  <c r="O544" i="4"/>
  <c r="O983" i="4"/>
  <c r="O949" i="4"/>
  <c r="O906" i="4"/>
  <c r="O863" i="4"/>
  <c r="O814" i="4"/>
  <c r="O748" i="4"/>
  <c r="O673" i="4"/>
  <c r="O568" i="4"/>
  <c r="O978" i="4"/>
  <c r="O942" i="4"/>
  <c r="O899" i="4"/>
  <c r="O857" i="4"/>
  <c r="O805" i="4"/>
  <c r="O736" i="4"/>
  <c r="O661" i="4"/>
  <c r="O549" i="4"/>
  <c r="O981" i="4"/>
  <c r="O946" i="4"/>
  <c r="O502" i="4"/>
  <c r="O518" i="4"/>
  <c r="O534" i="4"/>
  <c r="O550" i="4"/>
  <c r="O566" i="4"/>
  <c r="O582" i="4"/>
  <c r="O598" i="4"/>
  <c r="O614" i="4"/>
  <c r="O503" i="4"/>
  <c r="O519" i="4"/>
  <c r="O535" i="4"/>
  <c r="O551" i="4"/>
  <c r="O567" i="4"/>
  <c r="O583" i="4"/>
  <c r="O599" i="4"/>
  <c r="O615" i="4"/>
  <c r="O631" i="4"/>
  <c r="O647" i="4"/>
  <c r="O663" i="4"/>
  <c r="O679" i="4"/>
  <c r="O695" i="4"/>
  <c r="O711" i="4"/>
  <c r="O727" i="4"/>
  <c r="O743" i="4"/>
  <c r="O759" i="4"/>
  <c r="O775" i="4"/>
  <c r="O791" i="4"/>
  <c r="O807" i="4"/>
  <c r="O823" i="4"/>
  <c r="O839" i="4"/>
  <c r="O529" i="4"/>
  <c r="O561" i="4"/>
  <c r="O593" i="4"/>
  <c r="O625" i="4"/>
  <c r="O648" i="4"/>
  <c r="O669" i="4"/>
  <c r="O690" i="4"/>
  <c r="O712" i="4"/>
  <c r="O733" i="4"/>
  <c r="O754" i="4"/>
  <c r="O776" i="4"/>
  <c r="O797" i="4"/>
  <c r="O818" i="4"/>
  <c r="O840" i="4"/>
  <c r="O856" i="4"/>
  <c r="O872" i="4"/>
  <c r="O888" i="4"/>
  <c r="O904" i="4"/>
  <c r="O920" i="4"/>
  <c r="O936" i="4"/>
  <c r="O477" i="4"/>
  <c r="O433" i="4"/>
  <c r="O355" i="4"/>
  <c r="O491" i="4"/>
  <c r="O469" i="4"/>
  <c r="O303" i="4"/>
  <c r="O364" i="4"/>
  <c r="O426" i="4"/>
  <c r="O312" i="4"/>
  <c r="O369" i="4"/>
  <c r="O427" i="4"/>
  <c r="O484" i="4"/>
  <c r="O436" i="4"/>
  <c r="O346" i="4"/>
  <c r="O987" i="4"/>
  <c r="O890" i="4"/>
  <c r="O726" i="4"/>
  <c r="O990" i="4"/>
  <c r="O894" i="4"/>
  <c r="O746" i="4"/>
  <c r="O1001" i="4"/>
  <c r="O930" i="4"/>
  <c r="O877" i="4"/>
  <c r="O832" i="4"/>
  <c r="O774" i="4"/>
  <c r="O689" i="4"/>
  <c r="O592" i="4"/>
  <c r="O975" i="4"/>
  <c r="O895" i="4"/>
  <c r="O800" i="4"/>
  <c r="O652" i="4"/>
  <c r="O970" i="4"/>
  <c r="O889" i="4"/>
  <c r="O790" i="4"/>
  <c r="O704" i="4"/>
  <c r="O581" i="4"/>
  <c r="O973" i="4"/>
  <c r="O925" i="4"/>
  <c r="O514" i="4"/>
  <c r="O538" i="4"/>
  <c r="O558" i="4"/>
  <c r="O578" i="4"/>
  <c r="O602" i="4"/>
  <c r="O622" i="4"/>
  <c r="O515" i="4"/>
  <c r="O539" i="4"/>
  <c r="O559" i="4"/>
  <c r="O579" i="4"/>
  <c r="O603" i="4"/>
  <c r="O623" i="4"/>
  <c r="O643" i="4"/>
  <c r="O667" i="4"/>
  <c r="O687" i="4"/>
  <c r="O707" i="4"/>
  <c r="O731" i="4"/>
  <c r="O751" i="4"/>
  <c r="O771" i="4"/>
  <c r="O795" i="4"/>
  <c r="O815" i="4"/>
  <c r="O835" i="4"/>
  <c r="O537" i="4"/>
  <c r="O577" i="4"/>
  <c r="O617" i="4"/>
  <c r="O653" i="4"/>
  <c r="O680" i="4"/>
  <c r="O706" i="4"/>
  <c r="O738" i="4"/>
  <c r="O765" i="4"/>
  <c r="O792" i="4"/>
  <c r="O824" i="4"/>
  <c r="O848" i="4"/>
  <c r="O868" i="4"/>
  <c r="O892" i="4"/>
  <c r="O912" i="4"/>
  <c r="O932" i="4"/>
  <c r="O952" i="4"/>
  <c r="O404" i="4"/>
  <c r="O524" i="4"/>
  <c r="O556" i="4"/>
  <c r="O588" i="4"/>
  <c r="O620" i="4"/>
  <c r="O644" i="4"/>
  <c r="O665" i="4"/>
  <c r="O686" i="4"/>
  <c r="O708" i="4"/>
  <c r="O729" i="4"/>
  <c r="O750" i="4"/>
  <c r="O772" i="4"/>
  <c r="O988" i="4"/>
  <c r="O972" i="4"/>
  <c r="O955" i="4"/>
  <c r="O934" i="4"/>
  <c r="O913" i="4"/>
  <c r="O891" i="4"/>
  <c r="O870" i="4"/>
  <c r="O849" i="4"/>
  <c r="O822" i="4"/>
  <c r="O794" i="4"/>
  <c r="O762" i="4"/>
  <c r="O720" i="4"/>
  <c r="O677" i="4"/>
  <c r="O634" i="4"/>
  <c r="O573" i="4"/>
  <c r="O509" i="4"/>
  <c r="O487" i="4"/>
  <c r="O470" i="4"/>
  <c r="O409" i="4"/>
  <c r="O464" i="4"/>
  <c r="O335" i="4"/>
  <c r="O392" i="4"/>
  <c r="O345" i="4"/>
  <c r="O398" i="4"/>
  <c r="O512" i="4"/>
  <c r="O459" i="4"/>
  <c r="O394" i="4"/>
  <c r="O305" i="4"/>
  <c r="O943" i="4"/>
  <c r="O821" i="4"/>
  <c r="O616" i="4"/>
  <c r="O947" i="4"/>
  <c r="O826" i="4"/>
  <c r="O629" i="4"/>
  <c r="O969" i="4"/>
  <c r="O898" i="4"/>
  <c r="O855" i="4"/>
  <c r="O804" i="4"/>
  <c r="O732" i="4"/>
  <c r="O646" i="4"/>
  <c r="O528" i="4"/>
  <c r="O938" i="4"/>
  <c r="O853" i="4"/>
  <c r="O737" i="4"/>
  <c r="O520" i="4"/>
  <c r="O931" i="4"/>
  <c r="O846" i="4"/>
  <c r="O757" i="4"/>
  <c r="O640" i="4"/>
  <c r="O997" i="4"/>
  <c r="O957" i="4"/>
  <c r="O506" i="4"/>
  <c r="O526" i="4"/>
  <c r="O546" i="4"/>
  <c r="O570" i="4"/>
  <c r="O590" i="4"/>
  <c r="O610" i="4"/>
  <c r="O507" i="4"/>
  <c r="O527" i="4"/>
  <c r="O547" i="4"/>
  <c r="O571" i="4"/>
  <c r="O591" i="4"/>
  <c r="O611" i="4"/>
  <c r="O635" i="4"/>
  <c r="O655" i="4"/>
  <c r="O675" i="4"/>
  <c r="O699" i="4"/>
  <c r="O719" i="4"/>
  <c r="O739" i="4"/>
  <c r="O763" i="4"/>
  <c r="O783" i="4"/>
  <c r="O803" i="4"/>
  <c r="O827" i="4"/>
  <c r="O513" i="4"/>
  <c r="O553" i="4"/>
  <c r="O601" i="4"/>
  <c r="O637" i="4"/>
  <c r="O664" i="4"/>
  <c r="O696" i="4"/>
  <c r="O722" i="4"/>
  <c r="O749" i="4"/>
  <c r="O781" i="4"/>
  <c r="O808" i="4"/>
  <c r="O834" i="4"/>
  <c r="O860" i="4"/>
  <c r="O880" i="4"/>
  <c r="O900" i="4"/>
  <c r="O924" i="4"/>
  <c r="O944" i="4"/>
  <c r="O340" i="4"/>
  <c r="O508" i="4"/>
  <c r="O540" i="4"/>
  <c r="O572" i="4"/>
  <c r="O604" i="4"/>
  <c r="O633" i="4"/>
  <c r="O654" i="4"/>
  <c r="O676" i="4"/>
  <c r="O697" i="4"/>
  <c r="O718" i="4"/>
  <c r="O740" i="4"/>
  <c r="O761" i="4"/>
  <c r="O996" i="4"/>
  <c r="O980" i="4"/>
  <c r="O964" i="4"/>
  <c r="O945" i="4"/>
  <c r="O923" i="4"/>
  <c r="O902" i="4"/>
  <c r="O881" i="4"/>
  <c r="O859" i="4"/>
  <c r="O837" i="4"/>
  <c r="O809" i="4"/>
  <c r="O780" i="4"/>
  <c r="O741" i="4"/>
  <c r="O698" i="4"/>
  <c r="O656" i="4"/>
  <c r="O605" i="4"/>
  <c r="O541" i="4"/>
  <c r="O359" i="4"/>
  <c r="O490" i="4"/>
  <c r="O421" i="4"/>
  <c r="O348" i="4"/>
  <c r="O410" i="4"/>
  <c r="O353" i="4"/>
  <c r="O415" i="4"/>
  <c r="O492" i="4"/>
  <c r="O451" i="4"/>
  <c r="O370" i="4"/>
  <c r="O911" i="4"/>
  <c r="O793" i="4"/>
  <c r="O536" i="4"/>
  <c r="O915" i="4"/>
  <c r="O798" i="4"/>
  <c r="O565" i="4"/>
  <c r="O951" i="4"/>
  <c r="O887" i="4"/>
  <c r="O845" i="4"/>
  <c r="O497" i="4"/>
  <c r="O380" i="4"/>
  <c r="O471" i="4"/>
  <c r="O974" i="4"/>
  <c r="O914" i="4"/>
  <c r="O753" i="4"/>
  <c r="O560" i="4"/>
  <c r="O874" i="4"/>
  <c r="O600" i="4"/>
  <c r="O867" i="4"/>
  <c r="O682" i="4"/>
  <c r="O965" i="4"/>
  <c r="O522" i="4"/>
  <c r="O562" i="4"/>
  <c r="O606" i="4"/>
  <c r="O523" i="4"/>
  <c r="O563" i="4"/>
  <c r="O607" i="4"/>
  <c r="O651" i="4"/>
  <c r="O691" i="4"/>
  <c r="O735" i="4"/>
  <c r="O779" i="4"/>
  <c r="O819" i="4"/>
  <c r="O545" i="4"/>
  <c r="O632" i="4"/>
  <c r="O685" i="4"/>
  <c r="O744" i="4"/>
  <c r="O802" i="4"/>
  <c r="O852" i="4"/>
  <c r="O896" i="4"/>
  <c r="O940" i="4"/>
  <c r="O480" i="4"/>
  <c r="O564" i="4"/>
  <c r="O628" i="4"/>
  <c r="O670" i="4"/>
  <c r="O713" i="4"/>
  <c r="O756" i="4"/>
  <c r="O984" i="4"/>
  <c r="O950" i="4"/>
  <c r="O907" i="4"/>
  <c r="O865" i="4"/>
  <c r="O816" i="4"/>
  <c r="O752" i="4"/>
  <c r="O666" i="4"/>
  <c r="O557" i="4"/>
  <c r="O662" i="4"/>
  <c r="O789" i="4"/>
  <c r="O917" i="4"/>
  <c r="O910" i="4"/>
  <c r="O989" i="4"/>
  <c r="O554" i="4"/>
  <c r="O511" i="4"/>
  <c r="O595" i="4"/>
  <c r="O683" i="4"/>
  <c r="O767" i="4"/>
  <c r="O521" i="4"/>
  <c r="O674" i="4"/>
  <c r="O786" i="4"/>
  <c r="O884" i="4"/>
  <c r="O396" i="4"/>
  <c r="O612" i="4"/>
  <c r="O702" i="4"/>
  <c r="O992" i="4"/>
  <c r="O918" i="4"/>
  <c r="O830" i="4"/>
  <c r="O589" i="4"/>
  <c r="O445" i="4"/>
  <c r="O434" i="4"/>
  <c r="O328" i="4"/>
  <c r="O412" i="4"/>
  <c r="O971" i="4"/>
  <c r="O862" i="4"/>
  <c r="O866" i="4"/>
  <c r="O710" i="4"/>
  <c r="O991" i="4"/>
  <c r="O828" i="4"/>
  <c r="O986" i="4"/>
  <c r="O820" i="4"/>
  <c r="O613" i="4"/>
  <c r="O935" i="4"/>
  <c r="O530" i="4"/>
  <c r="O574" i="4"/>
  <c r="O618" i="4"/>
  <c r="O531" i="4"/>
  <c r="O575" i="4"/>
  <c r="O619" i="4"/>
  <c r="O659" i="4"/>
  <c r="O703" i="4"/>
  <c r="O747" i="4"/>
  <c r="O787" i="4"/>
  <c r="O831" i="4"/>
  <c r="O569" i="4"/>
  <c r="O642" i="4"/>
  <c r="O701" i="4"/>
  <c r="O760" i="4"/>
  <c r="O813" i="4"/>
  <c r="O864" i="4"/>
  <c r="O908" i="4"/>
  <c r="O948" i="4"/>
  <c r="O516" i="4"/>
  <c r="O580" i="4"/>
  <c r="O638" i="4"/>
  <c r="O681" i="4"/>
  <c r="O724" i="4"/>
  <c r="O766" i="4"/>
  <c r="O976" i="4"/>
  <c r="O939" i="4"/>
  <c r="O897" i="4"/>
  <c r="O854" i="4"/>
  <c r="O801" i="4"/>
  <c r="O730" i="4"/>
  <c r="O645" i="4"/>
  <c r="O525" i="4"/>
  <c r="O367" i="4"/>
  <c r="O385" i="4"/>
  <c r="O329" i="4"/>
  <c r="O858" i="4"/>
  <c r="O672" i="4"/>
  <c r="O817" i="4"/>
  <c r="O668" i="4"/>
  <c r="O959" i="4"/>
  <c r="O769" i="4"/>
  <c r="O953" i="4"/>
  <c r="O777" i="4"/>
  <c r="O517" i="4"/>
  <c r="O542" i="4"/>
  <c r="O586" i="4"/>
  <c r="O626" i="4"/>
  <c r="O543" i="4"/>
  <c r="O587" i="4"/>
  <c r="O627" i="4"/>
  <c r="O671" i="4"/>
  <c r="O715" i="4"/>
  <c r="O755" i="4"/>
  <c r="O799" i="4"/>
  <c r="O505" i="4"/>
  <c r="O585" i="4"/>
  <c r="O658" i="4"/>
  <c r="O717" i="4"/>
  <c r="O770" i="4"/>
  <c r="O829" i="4"/>
  <c r="O876" i="4"/>
  <c r="O916" i="4"/>
  <c r="O956" i="4"/>
  <c r="O532" i="4"/>
  <c r="O596" i="4"/>
  <c r="O649" i="4"/>
  <c r="O692" i="4"/>
  <c r="O734" i="4"/>
  <c r="O1000" i="4"/>
  <c r="O968" i="4"/>
  <c r="O929" i="4"/>
  <c r="O886" i="4"/>
  <c r="O843" i="4"/>
  <c r="O788" i="4"/>
  <c r="O709" i="4"/>
  <c r="O621" i="4"/>
  <c r="O309" i="4"/>
  <c r="O319" i="4"/>
  <c r="O435" i="4"/>
  <c r="O985" i="4"/>
  <c r="O624" i="4"/>
  <c r="O694" i="4"/>
  <c r="O725" i="4"/>
  <c r="O510" i="4"/>
  <c r="O594" i="4"/>
  <c r="O555" i="4"/>
  <c r="O639" i="4"/>
  <c r="O723" i="4"/>
  <c r="O811" i="4"/>
  <c r="O609" i="4"/>
  <c r="O728" i="4"/>
  <c r="O844" i="4"/>
  <c r="O928" i="4"/>
  <c r="O548" i="4"/>
  <c r="O660" i="4"/>
  <c r="O745" i="4"/>
  <c r="O960" i="4"/>
  <c r="O875" i="4"/>
  <c r="O773" i="4"/>
  <c r="O688" i="4"/>
  <c r="T8" i="4"/>
  <c r="F6" i="4"/>
  <c r="G6" i="4"/>
  <c r="J6" i="4"/>
  <c r="B7" i="4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A7" i="4"/>
  <c r="E5" i="4"/>
  <c r="D18" i="1"/>
  <c r="D19" i="1"/>
  <c r="D16" i="1"/>
  <c r="D17" i="1" s="1"/>
  <c r="D15" i="1"/>
  <c r="D14" i="1"/>
  <c r="F2" i="1"/>
  <c r="K18" i="3" l="1"/>
  <c r="L17" i="3"/>
  <c r="S11" i="4"/>
  <c r="T10" i="4" s="1"/>
  <c r="R10" i="4"/>
  <c r="F5" i="4"/>
  <c r="G5" i="4"/>
  <c r="A8" i="4"/>
  <c r="I11" i="1"/>
  <c r="I13" i="1" s="1"/>
  <c r="I14" i="1" s="1"/>
  <c r="I8" i="1"/>
  <c r="D4" i="1"/>
  <c r="D5" i="1" s="1"/>
  <c r="D6" i="1" s="1"/>
  <c r="D7" i="1" s="1"/>
  <c r="D8" i="1" s="1"/>
  <c r="D9" i="1" s="1"/>
  <c r="D10" i="1" s="1"/>
  <c r="D11" i="1" s="1"/>
  <c r="D12" i="1" s="1"/>
  <c r="D13" i="1" s="1"/>
  <c r="D3" i="1"/>
  <c r="E3" i="1"/>
  <c r="K19" i="3" l="1"/>
  <c r="L18" i="3"/>
  <c r="S12" i="4"/>
  <c r="R11" i="4"/>
  <c r="A9" i="4"/>
  <c r="F10" i="4"/>
  <c r="G10" i="4" s="1"/>
  <c r="H10" i="4" s="1"/>
  <c r="E4" i="1"/>
  <c r="F3" i="1"/>
  <c r="K20" i="3" l="1"/>
  <c r="L19" i="3"/>
  <c r="S13" i="4"/>
  <c r="T12" i="4" s="1"/>
  <c r="R12" i="4"/>
  <c r="T11" i="4"/>
  <c r="E10" i="4"/>
  <c r="F11" i="4"/>
  <c r="G11" i="4" s="1"/>
  <c r="H11" i="4" s="1"/>
  <c r="A10" i="4"/>
  <c r="E5" i="1"/>
  <c r="F4" i="1"/>
  <c r="K21" i="3" l="1"/>
  <c r="L20" i="3"/>
  <c r="S14" i="4"/>
  <c r="T13" i="4" s="1"/>
  <c r="R13" i="4"/>
  <c r="F12" i="4"/>
  <c r="G12" i="4" s="1"/>
  <c r="H12" i="4" s="1"/>
  <c r="A11" i="4"/>
  <c r="E6" i="1"/>
  <c r="F5" i="1"/>
  <c r="K22" i="3" l="1"/>
  <c r="L21" i="3"/>
  <c r="T14" i="4"/>
  <c r="R14" i="4"/>
  <c r="C13" i="4"/>
  <c r="F13" i="4" s="1"/>
  <c r="G13" i="4" s="1"/>
  <c r="H13" i="4" s="1"/>
  <c r="A12" i="4"/>
  <c r="E7" i="1"/>
  <c r="F6" i="1"/>
  <c r="K23" i="3" l="1"/>
  <c r="L22" i="3"/>
  <c r="O191" i="4"/>
  <c r="O131" i="4"/>
  <c r="O210" i="4"/>
  <c r="O110" i="4"/>
  <c r="O70" i="4"/>
  <c r="O122" i="4"/>
  <c r="O42" i="4"/>
  <c r="O53" i="4"/>
  <c r="O32" i="4"/>
  <c r="O40" i="4"/>
  <c r="O18" i="4"/>
  <c r="O168" i="4"/>
  <c r="O159" i="4"/>
  <c r="O182" i="4"/>
  <c r="O52" i="4"/>
  <c r="O101" i="4"/>
  <c r="O112" i="4"/>
  <c r="O76" i="4"/>
  <c r="O77" i="4"/>
  <c r="O74" i="4"/>
  <c r="O45" i="4"/>
  <c r="O50" i="4"/>
  <c r="O30" i="4"/>
  <c r="O39" i="4"/>
  <c r="O29" i="4"/>
  <c r="O16" i="4"/>
  <c r="O20" i="4"/>
  <c r="O9" i="4"/>
  <c r="O11" i="4"/>
  <c r="O95" i="4"/>
  <c r="O98" i="4"/>
  <c r="O57" i="4"/>
  <c r="O61" i="4"/>
  <c r="O44" i="4"/>
  <c r="O54" i="4"/>
  <c r="O100" i="4"/>
  <c r="O169" i="4"/>
  <c r="O69" i="4"/>
  <c r="O107" i="4"/>
  <c r="O136" i="4"/>
  <c r="O158" i="4"/>
  <c r="O91" i="4"/>
  <c r="O90" i="4"/>
  <c r="O67" i="4"/>
  <c r="O26" i="4"/>
  <c r="O118" i="4"/>
  <c r="O48" i="4"/>
  <c r="O72" i="4"/>
  <c r="O13" i="4"/>
  <c r="O24" i="4"/>
  <c r="O193" i="4"/>
  <c r="O38" i="4"/>
  <c r="O139" i="4"/>
  <c r="O15" i="4"/>
  <c r="O78" i="4"/>
  <c r="O279" i="4"/>
  <c r="O256" i="4"/>
  <c r="O231" i="4"/>
  <c r="O255" i="4"/>
  <c r="O294" i="4"/>
  <c r="O280" i="4"/>
  <c r="O215" i="4"/>
  <c r="O285" i="4"/>
  <c r="O267" i="4"/>
  <c r="O284" i="4"/>
  <c r="O297" i="4"/>
  <c r="O241" i="4"/>
  <c r="O245" i="4"/>
  <c r="O295" i="4"/>
  <c r="O202" i="4"/>
  <c r="O233" i="4"/>
  <c r="O188" i="4"/>
  <c r="O252" i="4"/>
  <c r="O214" i="4"/>
  <c r="O219" i="4"/>
  <c r="O262" i="4"/>
  <c r="O299" i="4"/>
  <c r="O205" i="4"/>
  <c r="O238" i="4"/>
  <c r="O249" i="4"/>
  <c r="O226" i="4"/>
  <c r="O207" i="4"/>
  <c r="O220" i="4"/>
  <c r="O269" i="4"/>
  <c r="O187" i="4"/>
  <c r="O293" i="4"/>
  <c r="O151" i="4"/>
  <c r="O179" i="4"/>
  <c r="O239" i="4"/>
  <c r="O260" i="4"/>
  <c r="O232" i="4"/>
  <c r="O161" i="4"/>
  <c r="O254" i="4"/>
  <c r="O286" i="4"/>
  <c r="O234" i="4"/>
  <c r="O113" i="4"/>
  <c r="O253" i="4"/>
  <c r="O156" i="4"/>
  <c r="O102" i="4"/>
  <c r="O115" i="4"/>
  <c r="O103" i="4"/>
  <c r="O119" i="4"/>
  <c r="O201" i="4"/>
  <c r="O132" i="4"/>
  <c r="O218" i="4"/>
  <c r="O155" i="4"/>
  <c r="O134" i="4"/>
  <c r="O278" i="4"/>
  <c r="O83" i="4"/>
  <c r="O199" i="4"/>
  <c r="O242" i="4"/>
  <c r="O288" i="4"/>
  <c r="O270" i="4"/>
  <c r="O96" i="4"/>
  <c r="O80" i="4"/>
  <c r="O290" i="4"/>
  <c r="O281" i="4"/>
  <c r="O152" i="4"/>
  <c r="O142" i="4"/>
  <c r="O248" i="4"/>
  <c r="O55" i="4"/>
  <c r="O92" i="4"/>
  <c r="O301" i="4"/>
  <c r="O128" i="4"/>
  <c r="O251" i="4"/>
  <c r="O264" i="4"/>
  <c r="O211" i="4"/>
  <c r="O217" i="4"/>
  <c r="O194" i="4"/>
  <c r="O195" i="4"/>
  <c r="O183" i="4"/>
  <c r="O185" i="4"/>
  <c r="O175" i="4"/>
  <c r="O181" i="4"/>
  <c r="O167" i="4"/>
  <c r="O172" i="4"/>
  <c r="O163" i="4"/>
  <c r="O165" i="4"/>
  <c r="O153" i="4"/>
  <c r="O154" i="4"/>
  <c r="O126" i="4"/>
  <c r="O150" i="4"/>
  <c r="O120" i="4"/>
  <c r="O93" i="4"/>
  <c r="O116" i="4"/>
  <c r="O88" i="4"/>
  <c r="O89" i="4"/>
  <c r="O86" i="4"/>
  <c r="O87" i="4"/>
  <c r="O68" i="4"/>
  <c r="O75" i="4"/>
  <c r="O63" i="4"/>
  <c r="O66" i="4"/>
  <c r="O35" i="4"/>
  <c r="O62" i="4"/>
  <c r="O300" i="4"/>
  <c r="O31" i="4"/>
  <c r="O274" i="4"/>
  <c r="O292" i="4"/>
  <c r="O237" i="4"/>
  <c r="O265" i="4"/>
  <c r="O213" i="4"/>
  <c r="O225" i="4"/>
  <c r="O189" i="4"/>
  <c r="O200" i="4"/>
  <c r="O166" i="4"/>
  <c r="O180" i="4"/>
  <c r="O162" i="4"/>
  <c r="O135" i="4"/>
  <c r="O138" i="4"/>
  <c r="O123" i="4"/>
  <c r="O109" i="4"/>
  <c r="O114" i="4"/>
  <c r="O105" i="4"/>
  <c r="O108" i="4"/>
  <c r="O65" i="4"/>
  <c r="O84" i="4"/>
  <c r="O46" i="4"/>
  <c r="O59" i="4"/>
  <c r="O8" i="4"/>
  <c r="O28" i="4"/>
  <c r="O291" i="4"/>
  <c r="O298" i="4"/>
  <c r="O192" i="4"/>
  <c r="O283" i="4"/>
  <c r="O258" i="4"/>
  <c r="O243" i="4"/>
  <c r="O246" i="4"/>
  <c r="O229" i="4"/>
  <c r="O230" i="4"/>
  <c r="O204" i="4"/>
  <c r="O209" i="4"/>
  <c r="O197" i="4"/>
  <c r="O203" i="4"/>
  <c r="O176" i="4"/>
  <c r="O178" i="4"/>
  <c r="O160" i="4"/>
  <c r="O173" i="4"/>
  <c r="O149" i="4"/>
  <c r="O157" i="4"/>
  <c r="O144" i="4"/>
  <c r="O137" i="4"/>
  <c r="O143" i="4"/>
  <c r="O130" i="4"/>
  <c r="O133" i="4"/>
  <c r="O106" i="4"/>
  <c r="O127" i="4"/>
  <c r="O82" i="4"/>
  <c r="O94" i="4"/>
  <c r="O73" i="4"/>
  <c r="O79" i="4"/>
  <c r="O60" i="4"/>
  <c r="O64" i="4"/>
  <c r="O43" i="4"/>
  <c r="O49" i="4"/>
  <c r="O34" i="4"/>
  <c r="O41" i="4"/>
  <c r="O25" i="4"/>
  <c r="O27" i="4"/>
  <c r="O19" i="4"/>
  <c r="O21" i="4"/>
  <c r="O10" i="4"/>
  <c r="O14" i="4"/>
  <c r="O5" i="4"/>
  <c r="O3" i="4"/>
  <c r="O4" i="4"/>
  <c r="O289" i="4"/>
  <c r="O2" i="4"/>
  <c r="O282" i="4"/>
  <c r="O287" i="4"/>
  <c r="O275" i="4"/>
  <c r="O277" i="4"/>
  <c r="O272" i="4"/>
  <c r="O273" i="4"/>
  <c r="O266" i="4"/>
  <c r="O268" i="4"/>
  <c r="O244" i="4"/>
  <c r="O257" i="4"/>
  <c r="O227" i="4"/>
  <c r="O236" i="4"/>
  <c r="O221" i="4"/>
  <c r="O222" i="4"/>
  <c r="O208" i="4"/>
  <c r="O216" i="4"/>
  <c r="O198" i="4"/>
  <c r="O186" i="4"/>
  <c r="O190" i="4"/>
  <c r="O174" i="4"/>
  <c r="O177" i="4"/>
  <c r="O145" i="4"/>
  <c r="O164" i="4"/>
  <c r="O124" i="4"/>
  <c r="O141" i="4"/>
  <c r="O104" i="4"/>
  <c r="O121" i="4"/>
  <c r="O97" i="4"/>
  <c r="O99" i="4"/>
  <c r="O58" i="4"/>
  <c r="O71" i="4"/>
  <c r="O36" i="4"/>
  <c r="O51" i="4"/>
  <c r="O170" i="4"/>
  <c r="O271" i="4"/>
  <c r="O12" i="4"/>
  <c r="O17" i="4"/>
  <c r="O33" i="4"/>
  <c r="O7" i="4"/>
  <c r="O147" i="4"/>
  <c r="O247" i="4"/>
  <c r="O81" i="4"/>
  <c r="O296" i="4"/>
  <c r="O6" i="4"/>
  <c r="O125" i="4"/>
  <c r="O212" i="4"/>
  <c r="O228" i="4"/>
  <c r="O250" i="4"/>
  <c r="O129" i="4"/>
  <c r="O23" i="4"/>
  <c r="O259" i="4"/>
  <c r="O56" i="4"/>
  <c r="O196" i="4"/>
  <c r="O223" i="4"/>
  <c r="O37" i="4"/>
  <c r="O263" i="4"/>
  <c r="O276" i="4"/>
  <c r="O47" i="4"/>
  <c r="O146" i="4"/>
  <c r="O206" i="4"/>
  <c r="O85" i="4"/>
  <c r="O140" i="4"/>
  <c r="O224" i="4"/>
  <c r="O22" i="4"/>
  <c r="O184" i="4"/>
  <c r="O240" i="4"/>
  <c r="O117" i="4"/>
  <c r="O148" i="4"/>
  <c r="O111" i="4"/>
  <c r="O261" i="4"/>
  <c r="O171" i="4"/>
  <c r="O235" i="4"/>
  <c r="C14" i="4"/>
  <c r="F14" i="4" s="1"/>
  <c r="G14" i="4" s="1"/>
  <c r="H14" i="4" s="1"/>
  <c r="A13" i="4"/>
  <c r="E8" i="1"/>
  <c r="F7" i="1"/>
  <c r="K24" i="3" l="1"/>
  <c r="L23" i="3"/>
  <c r="U4" i="4"/>
  <c r="U2" i="4"/>
  <c r="U9" i="4"/>
  <c r="U5" i="4"/>
  <c r="U6" i="4"/>
  <c r="U10" i="4"/>
  <c r="U11" i="4"/>
  <c r="U15" i="4"/>
  <c r="U7" i="4"/>
  <c r="U13" i="4"/>
  <c r="U12" i="4"/>
  <c r="U3" i="4"/>
  <c r="U8" i="4"/>
  <c r="U14" i="4"/>
  <c r="E14" i="4"/>
  <c r="A14" i="4"/>
  <c r="C15" i="4"/>
  <c r="F15" i="4" s="1"/>
  <c r="G15" i="4" s="1"/>
  <c r="H15" i="4" s="1"/>
  <c r="E9" i="1"/>
  <c r="F8" i="1"/>
  <c r="K25" i="3" l="1"/>
  <c r="L24" i="3"/>
  <c r="U16" i="4"/>
  <c r="C16" i="4"/>
  <c r="F16" i="4" s="1"/>
  <c r="G16" i="4" s="1"/>
  <c r="H16" i="4" s="1"/>
  <c r="A15" i="4"/>
  <c r="E10" i="1"/>
  <c r="F9" i="1"/>
  <c r="K26" i="3" l="1"/>
  <c r="L25" i="3"/>
  <c r="C17" i="4"/>
  <c r="F17" i="4" s="1"/>
  <c r="G17" i="4" s="1"/>
  <c r="H17" i="4" s="1"/>
  <c r="A16" i="4"/>
  <c r="E11" i="1"/>
  <c r="F10" i="1"/>
  <c r="K27" i="3" l="1"/>
  <c r="L26" i="3"/>
  <c r="C18" i="4"/>
  <c r="F18" i="4" s="1"/>
  <c r="G18" i="4" s="1"/>
  <c r="H18" i="4" s="1"/>
  <c r="A17" i="4"/>
  <c r="E12" i="1"/>
  <c r="F11" i="1"/>
  <c r="K28" i="3" l="1"/>
  <c r="L27" i="3"/>
  <c r="E18" i="4"/>
  <c r="C19" i="4"/>
  <c r="F19" i="4" s="1"/>
  <c r="G19" i="4" s="1"/>
  <c r="H19" i="4" s="1"/>
  <c r="A18" i="4"/>
  <c r="E13" i="1"/>
  <c r="F12" i="1"/>
  <c r="K29" i="3" l="1"/>
  <c r="L28" i="3"/>
  <c r="C20" i="4"/>
  <c r="F20" i="4" s="1"/>
  <c r="G20" i="4" s="1"/>
  <c r="H20" i="4" s="1"/>
  <c r="A19" i="4"/>
  <c r="E14" i="1"/>
  <c r="F13" i="1"/>
  <c r="K30" i="3" l="1"/>
  <c r="L29" i="3"/>
  <c r="C21" i="4"/>
  <c r="F21" i="4" s="1"/>
  <c r="G21" i="4" s="1"/>
  <c r="H21" i="4" s="1"/>
  <c r="A20" i="4"/>
  <c r="E15" i="1"/>
  <c r="F14" i="1"/>
  <c r="K31" i="3" l="1"/>
  <c r="L30" i="3"/>
  <c r="A21" i="4"/>
  <c r="C22" i="4"/>
  <c r="F22" i="4" s="1"/>
  <c r="G22" i="4" s="1"/>
  <c r="H22" i="4" s="1"/>
  <c r="F15" i="1"/>
  <c r="E16" i="1"/>
  <c r="K32" i="3" l="1"/>
  <c r="L31" i="3"/>
  <c r="C23" i="4"/>
  <c r="A22" i="4"/>
  <c r="E22" i="4"/>
  <c r="F16" i="1"/>
  <c r="E17" i="1"/>
  <c r="K33" i="3" l="1"/>
  <c r="L32" i="3"/>
  <c r="C24" i="4"/>
  <c r="F24" i="4" s="1"/>
  <c r="G24" i="4" s="1"/>
  <c r="H24" i="4" s="1"/>
  <c r="F23" i="4"/>
  <c r="G23" i="4" s="1"/>
  <c r="H23" i="4" s="1"/>
  <c r="A23" i="4"/>
  <c r="F17" i="1"/>
  <c r="E18" i="1"/>
  <c r="K34" i="3" l="1"/>
  <c r="L33" i="3"/>
  <c r="C25" i="4"/>
  <c r="F25" i="4" s="1"/>
  <c r="G25" i="4" s="1"/>
  <c r="H25" i="4" s="1"/>
  <c r="A24" i="4"/>
  <c r="F18" i="1"/>
  <c r="E19" i="1"/>
  <c r="F19" i="1" s="1"/>
  <c r="K35" i="3" l="1"/>
  <c r="L34" i="3"/>
  <c r="A25" i="4"/>
  <c r="C26" i="4"/>
  <c r="F26" i="4" s="1"/>
  <c r="G26" i="4" s="1"/>
  <c r="H26" i="4" s="1"/>
  <c r="K36" i="3" l="1"/>
  <c r="L35" i="3"/>
  <c r="E26" i="4"/>
  <c r="C27" i="4"/>
  <c r="F27" i="4" s="1"/>
  <c r="G27" i="4" s="1"/>
  <c r="H27" i="4" s="1"/>
  <c r="A26" i="4"/>
  <c r="K37" i="3" l="1"/>
  <c r="L36" i="3"/>
  <c r="A27" i="4"/>
  <c r="C28" i="4"/>
  <c r="C29" i="4" s="1"/>
  <c r="K38" i="3" l="1"/>
  <c r="L37" i="3"/>
  <c r="A28" i="4"/>
  <c r="F28" i="4"/>
  <c r="G28" i="4" s="1"/>
  <c r="H28" i="4" s="1"/>
  <c r="A29" i="4"/>
  <c r="F29" i="4"/>
  <c r="G29" i="4" s="1"/>
  <c r="H29" i="4" s="1"/>
  <c r="C30" i="4"/>
  <c r="K39" i="3" l="1"/>
  <c r="L38" i="3"/>
  <c r="C31" i="4"/>
  <c r="C32" i="4" s="1"/>
  <c r="F30" i="4"/>
  <c r="G30" i="4" s="1"/>
  <c r="H30" i="4" s="1"/>
  <c r="A30" i="4"/>
  <c r="E30" i="4"/>
  <c r="K40" i="3" l="1"/>
  <c r="L39" i="3"/>
  <c r="C33" i="4"/>
  <c r="F33" i="4" s="1"/>
  <c r="G33" i="4" s="1"/>
  <c r="H33" i="4" s="1"/>
  <c r="F32" i="4"/>
  <c r="G32" i="4" s="1"/>
  <c r="H32" i="4" s="1"/>
  <c r="A31" i="4"/>
  <c r="F31" i="4"/>
  <c r="G31" i="4" s="1"/>
  <c r="H31" i="4" s="1"/>
  <c r="A32" i="4"/>
  <c r="K41" i="3" l="1"/>
  <c r="L40" i="3"/>
  <c r="C34" i="4"/>
  <c r="A34" i="4" s="1"/>
  <c r="A33" i="4"/>
  <c r="K42" i="3" l="1"/>
  <c r="L41" i="3"/>
  <c r="C35" i="4"/>
  <c r="F35" i="4" s="1"/>
  <c r="G35" i="4" s="1"/>
  <c r="H35" i="4" s="1"/>
  <c r="E34" i="4"/>
  <c r="F34" i="4"/>
  <c r="G34" i="4" s="1"/>
  <c r="H34" i="4" s="1"/>
  <c r="K43" i="3" l="1"/>
  <c r="L42" i="3"/>
  <c r="A35" i="4"/>
  <c r="C36" i="4"/>
  <c r="F36" i="4" s="1"/>
  <c r="G36" i="4" s="1"/>
  <c r="H36" i="4" s="1"/>
  <c r="K44" i="3" l="1"/>
  <c r="L43" i="3"/>
  <c r="C37" i="4"/>
  <c r="F37" i="4" s="1"/>
  <c r="G37" i="4" s="1"/>
  <c r="H37" i="4" s="1"/>
  <c r="A36" i="4"/>
  <c r="K45" i="3" l="1"/>
  <c r="L44" i="3"/>
  <c r="A37" i="4"/>
  <c r="C38" i="4"/>
  <c r="F38" i="4" s="1"/>
  <c r="G38" i="4" s="1"/>
  <c r="H38" i="4" s="1"/>
  <c r="K46" i="3" l="1"/>
  <c r="L45" i="3"/>
  <c r="A38" i="4"/>
  <c r="E38" i="4"/>
  <c r="C39" i="4"/>
  <c r="F39" i="4" s="1"/>
  <c r="G39" i="4" s="1"/>
  <c r="H39" i="4" s="1"/>
  <c r="K47" i="3" l="1"/>
  <c r="L46" i="3"/>
  <c r="C40" i="4"/>
  <c r="F40" i="4" s="1"/>
  <c r="G40" i="4" s="1"/>
  <c r="H40" i="4" s="1"/>
  <c r="A39" i="4"/>
  <c r="K48" i="3" l="1"/>
  <c r="L47" i="3"/>
  <c r="A40" i="4"/>
  <c r="C41" i="4"/>
  <c r="F41" i="4" s="1"/>
  <c r="G41" i="4" s="1"/>
  <c r="H41" i="4" s="1"/>
  <c r="K49" i="3" l="1"/>
  <c r="L48" i="3"/>
  <c r="C42" i="4"/>
  <c r="C43" i="4" s="1"/>
  <c r="F43" i="4" s="1"/>
  <c r="G43" i="4" s="1"/>
  <c r="H43" i="4" s="1"/>
  <c r="A41" i="4"/>
  <c r="K50" i="3" l="1"/>
  <c r="L49" i="3"/>
  <c r="E42" i="4"/>
  <c r="F42" i="4"/>
  <c r="G42" i="4" s="1"/>
  <c r="H42" i="4" s="1"/>
  <c r="A42" i="4"/>
  <c r="C44" i="4"/>
  <c r="C45" i="4" s="1"/>
  <c r="F45" i="4" s="1"/>
  <c r="G45" i="4" s="1"/>
  <c r="H45" i="4" s="1"/>
  <c r="A43" i="4"/>
  <c r="K51" i="3" l="1"/>
  <c r="L50" i="3"/>
  <c r="F44" i="4"/>
  <c r="G44" i="4" s="1"/>
  <c r="H44" i="4" s="1"/>
  <c r="C46" i="4"/>
  <c r="C47" i="4" s="1"/>
  <c r="F47" i="4" s="1"/>
  <c r="G47" i="4" s="1"/>
  <c r="H47" i="4" s="1"/>
  <c r="A44" i="4"/>
  <c r="A45" i="4"/>
  <c r="K52" i="3" l="1"/>
  <c r="L51" i="3"/>
  <c r="A46" i="4"/>
  <c r="E46" i="4"/>
  <c r="F46" i="4"/>
  <c r="G46" i="4" s="1"/>
  <c r="H46" i="4" s="1"/>
  <c r="A47" i="4"/>
  <c r="C48" i="4"/>
  <c r="F48" i="4" s="1"/>
  <c r="G48" i="4" s="1"/>
  <c r="H48" i="4" s="1"/>
  <c r="K53" i="3" l="1"/>
  <c r="L52" i="3"/>
  <c r="A48" i="4"/>
  <c r="C49" i="4"/>
  <c r="F49" i="4" s="1"/>
  <c r="G49" i="4" s="1"/>
  <c r="H49" i="4" s="1"/>
  <c r="K54" i="3" l="1"/>
  <c r="L53" i="3"/>
  <c r="C50" i="4"/>
  <c r="E50" i="4" s="1"/>
  <c r="A49" i="4"/>
  <c r="K55" i="3" l="1"/>
  <c r="L54" i="3"/>
  <c r="A50" i="4"/>
  <c r="C51" i="4"/>
  <c r="F51" i="4" s="1"/>
  <c r="G51" i="4" s="1"/>
  <c r="H51" i="4" s="1"/>
  <c r="F50" i="4"/>
  <c r="G50" i="4" s="1"/>
  <c r="H50" i="4" s="1"/>
  <c r="K56" i="3" l="1"/>
  <c r="L55" i="3"/>
  <c r="C52" i="4"/>
  <c r="F52" i="4" s="1"/>
  <c r="G52" i="4" s="1"/>
  <c r="H52" i="4" s="1"/>
  <c r="A51" i="4"/>
  <c r="K57" i="3" l="1"/>
  <c r="L56" i="3"/>
  <c r="C53" i="4"/>
  <c r="F53" i="4" s="1"/>
  <c r="G53" i="4" s="1"/>
  <c r="H53" i="4" s="1"/>
  <c r="A52" i="4"/>
  <c r="K58" i="3" l="1"/>
  <c r="L57" i="3"/>
  <c r="C54" i="4"/>
  <c r="E54" i="4" s="1"/>
  <c r="A53" i="4"/>
  <c r="K59" i="3" l="1"/>
  <c r="L58" i="3"/>
  <c r="A54" i="4"/>
  <c r="F54" i="4"/>
  <c r="G54" i="4" s="1"/>
  <c r="H54" i="4" s="1"/>
  <c r="C55" i="4"/>
  <c r="F55" i="4" s="1"/>
  <c r="G55" i="4" s="1"/>
  <c r="H55" i="4" s="1"/>
  <c r="K60" i="3" l="1"/>
  <c r="L59" i="3"/>
  <c r="A55" i="4"/>
  <c r="C56" i="4"/>
  <c r="F56" i="4" s="1"/>
  <c r="G56" i="4" s="1"/>
  <c r="H56" i="4" s="1"/>
  <c r="K61" i="3" l="1"/>
  <c r="L60" i="3"/>
  <c r="A56" i="4"/>
  <c r="C57" i="4"/>
  <c r="F57" i="4" s="1"/>
  <c r="G57" i="4" s="1"/>
  <c r="H57" i="4" s="1"/>
  <c r="K62" i="3" l="1"/>
  <c r="L61" i="3"/>
  <c r="C58" i="4"/>
  <c r="F58" i="4" s="1"/>
  <c r="G58" i="4" s="1"/>
  <c r="H58" i="4" s="1"/>
  <c r="A57" i="4"/>
  <c r="K8" i="3" l="1"/>
  <c r="L62" i="3"/>
  <c r="L8" i="3" s="1"/>
  <c r="E58" i="4"/>
  <c r="C59" i="4"/>
  <c r="F59" i="4" s="1"/>
  <c r="G59" i="4" s="1"/>
  <c r="H59" i="4" s="1"/>
  <c r="A58" i="4"/>
  <c r="A59" i="4" l="1"/>
  <c r="C60" i="4"/>
  <c r="C61" i="4" s="1"/>
  <c r="F61" i="4" s="1"/>
  <c r="G61" i="4" s="1"/>
  <c r="H61" i="4" s="1"/>
  <c r="A61" i="4" l="1"/>
  <c r="F60" i="4"/>
  <c r="G60" i="4" s="1"/>
  <c r="H60" i="4" s="1"/>
  <c r="C62" i="4"/>
  <c r="F62" i="4" s="1"/>
  <c r="G62" i="4" s="1"/>
  <c r="H62" i="4" s="1"/>
  <c r="A60" i="4"/>
  <c r="E62" i="4" l="1"/>
  <c r="A62" i="4"/>
  <c r="C63" i="4"/>
  <c r="F63" i="4" s="1"/>
  <c r="G63" i="4" s="1"/>
  <c r="H63" i="4" s="1"/>
  <c r="A63" i="4" l="1"/>
  <c r="C64" i="4"/>
  <c r="F64" i="4" s="1"/>
  <c r="G64" i="4" s="1"/>
  <c r="H64" i="4" s="1"/>
  <c r="C65" i="4" l="1"/>
  <c r="F65" i="4" s="1"/>
  <c r="G65" i="4" s="1"/>
  <c r="H65" i="4" s="1"/>
  <c r="A64" i="4"/>
  <c r="C66" i="4" l="1"/>
  <c r="F66" i="4" s="1"/>
  <c r="G66" i="4" s="1"/>
  <c r="H66" i="4" s="1"/>
  <c r="A65" i="4"/>
  <c r="A66" i="4" l="1"/>
  <c r="C67" i="4"/>
  <c r="F67" i="4" s="1"/>
  <c r="G67" i="4" s="1"/>
  <c r="H67" i="4" s="1"/>
  <c r="E66" i="4"/>
  <c r="A67" i="4" l="1"/>
  <c r="C68" i="4"/>
  <c r="F68" i="4" s="1"/>
  <c r="G68" i="4" s="1"/>
  <c r="H68" i="4" s="1"/>
  <c r="C69" i="4" l="1"/>
  <c r="F69" i="4" s="1"/>
  <c r="G69" i="4" s="1"/>
  <c r="H69" i="4" s="1"/>
  <c r="A68" i="4"/>
  <c r="C70" i="4" l="1"/>
  <c r="F70" i="4" s="1"/>
  <c r="G70" i="4" s="1"/>
  <c r="H70" i="4" s="1"/>
  <c r="A69" i="4"/>
  <c r="C71" i="4" l="1"/>
  <c r="F71" i="4" s="1"/>
  <c r="G71" i="4" s="1"/>
  <c r="H71" i="4" s="1"/>
  <c r="A70" i="4"/>
  <c r="E70" i="4"/>
  <c r="C72" i="4" l="1"/>
  <c r="F72" i="4" s="1"/>
  <c r="G72" i="4" s="1"/>
  <c r="H72" i="4" s="1"/>
  <c r="A71" i="4"/>
  <c r="A72" i="4" l="1"/>
  <c r="C73" i="4"/>
  <c r="F73" i="4" s="1"/>
  <c r="G73" i="4" s="1"/>
  <c r="H73" i="4" s="1"/>
  <c r="C74" i="4" l="1"/>
  <c r="F74" i="4" s="1"/>
  <c r="G74" i="4" s="1"/>
  <c r="H74" i="4" s="1"/>
  <c r="A73" i="4"/>
  <c r="E74" i="4" l="1"/>
  <c r="A74" i="4"/>
</calcChain>
</file>

<file path=xl/sharedStrings.xml><?xml version="1.0" encoding="utf-8"?>
<sst xmlns="http://schemas.openxmlformats.org/spreadsheetml/2006/main" count="20" uniqueCount="18">
  <si>
    <t>havi</t>
  </si>
  <si>
    <t>bér</t>
  </si>
  <si>
    <t>iroda</t>
  </si>
  <si>
    <t>egyszeri</t>
  </si>
  <si>
    <t>egyéb</t>
  </si>
  <si>
    <t>év</t>
  </si>
  <si>
    <t>napi</t>
  </si>
  <si>
    <t>napi %p</t>
  </si>
  <si>
    <t>éves</t>
  </si>
  <si>
    <t>éves2</t>
  </si>
  <si>
    <t>val</t>
  </si>
  <si>
    <t>range</t>
  </si>
  <si>
    <t>val2</t>
  </si>
  <si>
    <t>hét</t>
  </si>
  <si>
    <t>heti hozam</t>
  </si>
  <si>
    <t>szorzó</t>
  </si>
  <si>
    <t>szórás</t>
  </si>
  <si>
    <t>hozam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</si>
</sst>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%"/>
    <numFmt numFmtId="165" formatCode="#,##0&quot;x&quot;"/>
    <numFmt numFmtId="166" formatCode="#,##0.0,,"/>
    <numFmt numFmtId="167" formatCode="0.0"/>
    <numFmt numFmtId="168" formatCode="#,##0.0"/>
  </numFmts>
  <fonts count="4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">
    <xf numFmtId="0" fontId="0" fillId="0" borderId="0" xfId="0"/>
    <xf numFmtId="2" fontId="0" fillId="0" borderId="0" xfId="0" applyNumberFormat="1"/>
    <xf numFmtId="3" fontId="0" fillId="0" borderId="0" xfId="0" applyNumberFormat="1"/>
    <xf numFmtId="2" fontId="1" fillId="0" borderId="0" xfId="0" applyNumberFormat="1" applyFont="1"/>
    <xf numFmtId="3" fontId="1" fillId="0" borderId="0" xfId="0" applyNumberFormat="1" applyFont="1"/>
    <xf numFmtId="4" fontId="0" fillId="0" borderId="0" xfId="0" applyNumberFormat="1"/>
    <xf numFmtId="14" fontId="0" fillId="0" borderId="0" xfId="0" applyNumberFormat="1"/>
    <xf numFmtId="10" fontId="0" fillId="0" borderId="0" xfId="1" applyNumberFormat="1" applyFont="1"/>
    <xf numFmtId="164" fontId="0" fillId="0" borderId="0" xfId="1" applyNumberFormat="1" applyFont="1"/>
    <xf numFmtId="165" fontId="0" fillId="0" borderId="0" xfId="1" applyNumberFormat="1" applyFont="1"/>
    <xf numFmtId="0" fontId="0" fillId="0" borderId="0" xfId="0" applyAlignment="1">
      <alignment horizontal="center"/>
    </xf>
    <xf numFmtId="3" fontId="0" fillId="2" borderId="0" xfId="0" applyNumberFormat="1" applyFill="1"/>
    <xf numFmtId="14" fontId="0" fillId="2" borderId="0" xfId="0" applyNumberFormat="1" applyFill="1"/>
    <xf numFmtId="0" fontId="0" fillId="2" borderId="0" xfId="0" applyFill="1"/>
    <xf numFmtId="164" fontId="0" fillId="2" borderId="0" xfId="1" applyNumberFormat="1" applyFont="1" applyFill="1"/>
    <xf numFmtId="10" fontId="0" fillId="2" borderId="0" xfId="0" applyNumberFormat="1" applyFill="1"/>
    <xf numFmtId="0" fontId="0" fillId="3" borderId="0" xfId="0" applyFill="1"/>
    <xf numFmtId="3" fontId="0" fillId="0" borderId="0" xfId="0" applyNumberFormat="1" applyFill="1"/>
    <xf numFmtId="14" fontId="0" fillId="0" borderId="0" xfId="0" applyNumberFormat="1" applyFill="1"/>
    <xf numFmtId="10" fontId="0" fillId="0" borderId="0" xfId="1" applyNumberFormat="1" applyFont="1" applyFill="1"/>
    <xf numFmtId="0" fontId="0" fillId="0" borderId="0" xfId="0" applyFill="1"/>
    <xf numFmtId="0" fontId="3" fillId="0" borderId="0" xfId="0" applyFont="1"/>
    <xf numFmtId="167" fontId="0" fillId="0" borderId="0" xfId="0" applyNumberFormat="1"/>
    <xf numFmtId="164" fontId="0" fillId="0" borderId="0" xfId="0" applyNumberFormat="1"/>
    <xf numFmtId="3" fontId="0" fillId="3" borderId="0" xfId="0" applyNumberFormat="1" applyFill="1"/>
    <xf numFmtId="166" fontId="0" fillId="0" borderId="0" xfId="0" applyNumberFormat="1" applyAlignment="1">
      <alignment horizontal="right"/>
    </xf>
    <xf numFmtId="166" fontId="0" fillId="0" borderId="0" xfId="0" applyNumberFormat="1" applyFill="1" applyAlignment="1">
      <alignment horizontal="right"/>
    </xf>
    <xf numFmtId="168" fontId="0" fillId="2" borderId="0" xfId="0" applyNumberFormat="1" applyFill="1"/>
    <xf numFmtId="164" fontId="0" fillId="0" borderId="0" xfId="1" applyNumberFormat="1" applyFont="1" applyFill="1"/>
    <xf numFmtId="9" fontId="0" fillId="3" borderId="0" xfId="0" applyNumberFormat="1" applyFill="1"/>
    <xf numFmtId="0" fontId="1" fillId="0" borderId="0" xfId="0" applyFont="1"/>
    <xf numFmtId="0" fontId="0" fillId="0" borderId="0" xfId="0" applyFont="1"/>
    <xf numFmtId="3" fontId="2" fillId="0" borderId="0" xfId="1" applyNumberFormat="1" applyFont="1"/>
  </cellXfs>
  <cellStyles count="2">
    <cellStyle name="Normál" xfId="0" builtinId="0"/>
    <cellStyle name="Százalék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done!$T$2:$T$15</c:f>
              <c:strCache>
                <c:ptCount val="14"/>
                <c:pt idx="0">
                  <c:v>R 0-3</c:v>
                </c:pt>
                <c:pt idx="1">
                  <c:v>R 3-7</c:v>
                </c:pt>
                <c:pt idx="2">
                  <c:v>R 7-11</c:v>
                </c:pt>
                <c:pt idx="3">
                  <c:v>R 11-15</c:v>
                </c:pt>
                <c:pt idx="4">
                  <c:v>R 15-18</c:v>
                </c:pt>
                <c:pt idx="5">
                  <c:v>R 18-22</c:v>
                </c:pt>
                <c:pt idx="6">
                  <c:v>R 22-26</c:v>
                </c:pt>
                <c:pt idx="7">
                  <c:v>R 26-30</c:v>
                </c:pt>
                <c:pt idx="8">
                  <c:v>R 30-33</c:v>
                </c:pt>
                <c:pt idx="9">
                  <c:v>R 33-37</c:v>
                </c:pt>
                <c:pt idx="10">
                  <c:v>R 37-41</c:v>
                </c:pt>
                <c:pt idx="11">
                  <c:v>R 41-45</c:v>
                </c:pt>
                <c:pt idx="12">
                  <c:v>R 45-49</c:v>
                </c:pt>
                <c:pt idx="13">
                  <c:v>R 49-0</c:v>
                </c:pt>
              </c:strCache>
            </c:strRef>
          </c:cat>
          <c:val>
            <c:numRef>
              <c:f>done!$U$2:$U$15</c:f>
              <c:numCache>
                <c:formatCode>General</c:formatCode>
                <c:ptCount val="14"/>
                <c:pt idx="0">
                  <c:v>0</c:v>
                </c:pt>
                <c:pt idx="1">
                  <c:v>15</c:v>
                </c:pt>
                <c:pt idx="2">
                  <c:v>36</c:v>
                </c:pt>
                <c:pt idx="3">
                  <c:v>42</c:v>
                </c:pt>
                <c:pt idx="4">
                  <c:v>42</c:v>
                </c:pt>
                <c:pt idx="5">
                  <c:v>38</c:v>
                </c:pt>
                <c:pt idx="6">
                  <c:v>29</c:v>
                </c:pt>
                <c:pt idx="7">
                  <c:v>19</c:v>
                </c:pt>
                <c:pt idx="8">
                  <c:v>26</c:v>
                </c:pt>
                <c:pt idx="9">
                  <c:v>8</c:v>
                </c:pt>
                <c:pt idx="10">
                  <c:v>13</c:v>
                </c:pt>
                <c:pt idx="11">
                  <c:v>5</c:v>
                </c:pt>
                <c:pt idx="12">
                  <c:v>5</c:v>
                </c:pt>
                <c:pt idx="1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759296"/>
        <c:axId val="212760832"/>
      </c:barChart>
      <c:catAx>
        <c:axId val="2127592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hu-HU"/>
          </a:p>
        </c:txPr>
        <c:crossAx val="212760832"/>
        <c:crosses val="autoZero"/>
        <c:auto val="1"/>
        <c:lblAlgn val="ctr"/>
        <c:lblOffset val="100"/>
        <c:noMultiLvlLbl val="0"/>
      </c:catAx>
      <c:valAx>
        <c:axId val="21276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59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453390</xdr:colOff>
      <xdr:row>2</xdr:row>
      <xdr:rowOff>183832</xdr:rowOff>
    </xdr:from>
    <xdr:to>
      <xdr:col>16</xdr:col>
      <xdr:colOff>135255</xdr:colOff>
      <xdr:row>16</xdr:row>
      <xdr:rowOff>145732</xdr:rowOff>
    </xdr:to>
    <xdr:graphicFrame macro="">
      <xdr:nvGraphicFramePr>
        <xdr:cNvPr id="11" name="Diagra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0</xdr:row>
          <xdr:rowOff>0</xdr:rowOff>
        </xdr:from>
        <xdr:to>
          <xdr:col>11</xdr:col>
          <xdr:colOff>228600</xdr:colOff>
          <xdr:row>1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U1001"/>
  <sheetViews>
    <sheetView tabSelected="1" workbookViewId="0">
      <selection activeCell="A3" sqref="A3"/>
    </sheetView>
  </sheetViews>
  <sheetFormatPr defaultRowHeight="15" x14ac:dyDescent="0.25"/>
  <cols>
    <col min="1" max="1" width="12.28515625" customWidth="1"/>
    <col min="2" max="2" width="11.140625" customWidth="1"/>
    <col min="3" max="3" width="10.5703125" style="2" customWidth="1"/>
    <col min="7" max="7" width="12" customWidth="1"/>
    <col min="8" max="8" width="11.7109375" customWidth="1"/>
    <col min="13" max="13" width="12" customWidth="1"/>
    <col min="14" max="14" width="9.140625" style="10" customWidth="1"/>
    <col min="16" max="16" width="6.28515625" customWidth="1"/>
    <col min="18" max="18" width="18" bestFit="1" customWidth="1"/>
    <col min="19" max="19" width="10.85546875" bestFit="1" customWidth="1"/>
    <col min="20" max="20" width="19.42578125" customWidth="1"/>
  </cols>
  <sheetData>
    <row r="1" spans="1:21" x14ac:dyDescent="0.25">
      <c r="A1" s="24">
        <v>64</v>
      </c>
      <c r="D1" s="16">
        <v>0.8</v>
      </c>
      <c r="E1" s="16">
        <v>0.8</v>
      </c>
      <c r="F1" s="1">
        <f>+E1/D1</f>
        <v>1</v>
      </c>
      <c r="G1" s="16">
        <v>-8.6999999999999993</v>
      </c>
      <c r="H1" s="16">
        <v>20.5</v>
      </c>
      <c r="N1" s="10" t="s">
        <v>10</v>
      </c>
      <c r="O1" t="s">
        <v>11</v>
      </c>
      <c r="P1" t="s">
        <v>12</v>
      </c>
    </row>
    <row r="2" spans="1:21" ht="15.75" x14ac:dyDescent="0.25">
      <c r="A2" s="2"/>
      <c r="G2" s="22">
        <f>AVERAGE(G1:H1)</f>
        <v>5.9</v>
      </c>
      <c r="H2" s="23">
        <f>AVERAGE(D7:D11)</f>
        <v>3.1606900616358846E-2</v>
      </c>
      <c r="N2" s="25">
        <v>40448774.903794654</v>
      </c>
      <c r="O2" t="str">
        <f t="shared" ref="O2:O33" si="0">VLOOKUP(N2,$R$2:$T$15,3,TRUE)</f>
        <v>R 37-41</v>
      </c>
      <c r="P2">
        <f>1*(N2&lt;&gt;0)</f>
        <v>1</v>
      </c>
      <c r="R2" s="2">
        <f t="shared" ref="R2:R15" si="1">+S2*1000000</f>
        <v>0</v>
      </c>
      <c r="S2" s="2">
        <v>0</v>
      </c>
      <c r="T2" s="21" t="str">
        <f>"R " &amp; INT(S2) &amp; "-" &amp; INT(S3)</f>
        <v>R 0-3</v>
      </c>
      <c r="U2">
        <f>SUMIF($O$2:$O$1001,T2,$P$2:$P$1001)</f>
        <v>0</v>
      </c>
    </row>
    <row r="3" spans="1:21" ht="15.75" x14ac:dyDescent="0.25">
      <c r="E3" t="s">
        <v>7</v>
      </c>
      <c r="F3" t="s">
        <v>0</v>
      </c>
      <c r="G3" t="s">
        <v>8</v>
      </c>
      <c r="I3" s="10" t="s">
        <v>6</v>
      </c>
      <c r="J3" s="10" t="s">
        <v>9</v>
      </c>
      <c r="N3" s="25">
        <v>7145415.1134100761</v>
      </c>
      <c r="O3" t="str">
        <f t="shared" si="0"/>
        <v>R 3-7</v>
      </c>
      <c r="P3">
        <f t="shared" ref="P3:P66" si="2">1*(N3&lt;&gt;0)</f>
        <v>1</v>
      </c>
      <c r="R3" s="2">
        <f t="shared" si="1"/>
        <v>3771455.3331859405</v>
      </c>
      <c r="S3" s="2">
        <f>$S$15/13+S2</f>
        <v>3.7714553331859406</v>
      </c>
      <c r="T3" s="21" t="str">
        <f t="shared" ref="T3:T15" si="3">"R " &amp; INT(S3) &amp; "-" &amp; INT(S4)</f>
        <v>R 3-7</v>
      </c>
      <c r="U3">
        <f t="shared" ref="U3:U15" si="4">SUMIF($O$2:$O$1001,T3,$P$2:$P$1001)</f>
        <v>15</v>
      </c>
    </row>
    <row r="4" spans="1:21" ht="15.75" x14ac:dyDescent="0.25">
      <c r="A4" s="2">
        <f>C4*220</f>
        <v>1004438.6</v>
      </c>
      <c r="B4" s="6">
        <v>41521</v>
      </c>
      <c r="C4" s="2">
        <v>4565.63</v>
      </c>
      <c r="N4" s="25">
        <v>10065550.123833006</v>
      </c>
      <c r="O4" t="str">
        <f t="shared" si="0"/>
        <v>R 7-11</v>
      </c>
      <c r="P4">
        <f t="shared" si="2"/>
        <v>1</v>
      </c>
      <c r="R4" s="2">
        <f t="shared" si="1"/>
        <v>7542910.666371881</v>
      </c>
      <c r="S4" s="2">
        <f t="shared" ref="S4:S14" si="5">$S$15/13+S3</f>
        <v>7.5429106663718812</v>
      </c>
      <c r="T4" s="21" t="str">
        <f t="shared" si="3"/>
        <v>R 7-11</v>
      </c>
      <c r="U4">
        <f t="shared" si="4"/>
        <v>36</v>
      </c>
    </row>
    <row r="5" spans="1:21" ht="15.75" x14ac:dyDescent="0.25">
      <c r="A5" s="2">
        <f t="shared" ref="A5:A21" si="6">C5*220</f>
        <v>1181620</v>
      </c>
      <c r="B5" s="6">
        <v>41523</v>
      </c>
      <c r="C5" s="2">
        <v>5371</v>
      </c>
      <c r="D5" s="7">
        <f>+C5/C4-1</f>
        <v>0.17639843789356568</v>
      </c>
      <c r="E5" s="8">
        <f>(1+D5)^(1/($B5-$B4))-1</f>
        <v>8.4619028919171058E-2</v>
      </c>
      <c r="F5" s="8">
        <f>+(1+E5)^21</f>
        <v>5.5058149544868078</v>
      </c>
      <c r="G5" s="9">
        <f>+(1+E5)^250</f>
        <v>659636826.28839266</v>
      </c>
      <c r="N5" s="25">
        <v>57363771.685447246</v>
      </c>
      <c r="O5" t="str">
        <f t="shared" si="0"/>
        <v>R 49-0</v>
      </c>
      <c r="P5">
        <f t="shared" si="2"/>
        <v>1</v>
      </c>
      <c r="R5" s="2">
        <f t="shared" si="1"/>
        <v>11314365.999557821</v>
      </c>
      <c r="S5" s="2">
        <f t="shared" si="5"/>
        <v>11.314365999557822</v>
      </c>
      <c r="T5" s="21" t="str">
        <f t="shared" si="3"/>
        <v>R 11-15</v>
      </c>
      <c r="U5">
        <f t="shared" si="4"/>
        <v>42</v>
      </c>
    </row>
    <row r="6" spans="1:21" ht="15.75" x14ac:dyDescent="0.25">
      <c r="A6" s="2">
        <f t="shared" si="6"/>
        <v>1274240</v>
      </c>
      <c r="B6" s="6">
        <f t="shared" ref="B6:B13" si="7">+B5+7</f>
        <v>41530</v>
      </c>
      <c r="C6" s="2">
        <v>5792</v>
      </c>
      <c r="D6" s="7">
        <f>+C6/C5-1</f>
        <v>7.8383913610128531E-2</v>
      </c>
      <c r="E6" s="8">
        <f>(1+D6)^(1/($B6-$B5))-1</f>
        <v>1.083882534790237E-2</v>
      </c>
      <c r="F6" s="8">
        <f>+(1+E6)^21</f>
        <v>1.2540654483058822</v>
      </c>
      <c r="G6" s="9">
        <f>+(1+E6)^250</f>
        <v>14.807392912209396</v>
      </c>
      <c r="H6" s="7">
        <f>+C6/C$4-1</f>
        <v>0.2686091514205049</v>
      </c>
      <c r="I6" s="7">
        <f>(1+H6)^(1/($B6-$B4))-1</f>
        <v>2.6788204857125519E-2</v>
      </c>
      <c r="J6" s="9">
        <f>(C6/C4)^(250/(B6-B4))</f>
        <v>741.68206409869549</v>
      </c>
      <c r="N6" s="25">
        <v>8325577.325957478</v>
      </c>
      <c r="O6" t="str">
        <f t="shared" si="0"/>
        <v>R 7-11</v>
      </c>
      <c r="P6">
        <f t="shared" si="2"/>
        <v>1</v>
      </c>
      <c r="R6" s="2">
        <f t="shared" si="1"/>
        <v>15085821.332743762</v>
      </c>
      <c r="S6" s="2">
        <f t="shared" si="5"/>
        <v>15.085821332743762</v>
      </c>
      <c r="T6" s="21" t="str">
        <f t="shared" si="3"/>
        <v>R 15-18</v>
      </c>
      <c r="U6">
        <f t="shared" si="4"/>
        <v>42</v>
      </c>
    </row>
    <row r="7" spans="1:21" s="20" customFormat="1" ht="15.75" x14ac:dyDescent="0.25">
      <c r="A7" s="17">
        <f t="shared" si="6"/>
        <v>1519100</v>
      </c>
      <c r="B7" s="18">
        <f t="shared" si="7"/>
        <v>41537</v>
      </c>
      <c r="C7" s="17">
        <v>6905</v>
      </c>
      <c r="D7" s="19">
        <f>+C7/C6-1</f>
        <v>0.19216160220994483</v>
      </c>
      <c r="N7" s="26">
        <v>34336446.797721192</v>
      </c>
      <c r="O7" t="str">
        <f t="shared" si="0"/>
        <v>R 33-37</v>
      </c>
      <c r="P7">
        <f t="shared" si="2"/>
        <v>1</v>
      </c>
      <c r="R7" s="2">
        <f t="shared" si="1"/>
        <v>18857276.665929705</v>
      </c>
      <c r="S7" s="2">
        <f t="shared" si="5"/>
        <v>18.857276665929703</v>
      </c>
      <c r="T7" s="21" t="str">
        <f t="shared" si="3"/>
        <v>R 18-22</v>
      </c>
      <c r="U7">
        <f t="shared" si="4"/>
        <v>38</v>
      </c>
    </row>
    <row r="8" spans="1:21" ht="15.6" x14ac:dyDescent="0.3">
      <c r="A8" s="17">
        <f t="shared" si="6"/>
        <v>1677060</v>
      </c>
      <c r="B8" s="18">
        <f t="shared" si="7"/>
        <v>41544</v>
      </c>
      <c r="C8" s="17">
        <f>7423+200</f>
        <v>7623</v>
      </c>
      <c r="D8" s="19">
        <f>+C8/C7-1</f>
        <v>0.103982621288921</v>
      </c>
      <c r="E8" s="20"/>
      <c r="F8" s="13"/>
      <c r="G8" s="13"/>
      <c r="H8" s="13"/>
      <c r="I8" s="13"/>
      <c r="J8" s="13"/>
      <c r="N8" s="25">
        <v>27751317.578978956</v>
      </c>
      <c r="O8" t="str">
        <f t="shared" si="0"/>
        <v>R 26-30</v>
      </c>
      <c r="P8">
        <f t="shared" si="2"/>
        <v>1</v>
      </c>
      <c r="R8" s="2">
        <f t="shared" si="1"/>
        <v>22628731.999115642</v>
      </c>
      <c r="S8" s="2">
        <f t="shared" si="5"/>
        <v>22.628731999115644</v>
      </c>
      <c r="T8" s="21" t="str">
        <f t="shared" si="3"/>
        <v>R 22-26</v>
      </c>
      <c r="U8">
        <f t="shared" si="4"/>
        <v>29</v>
      </c>
    </row>
    <row r="9" spans="1:21" ht="15.6" x14ac:dyDescent="0.3">
      <c r="A9" s="17">
        <f t="shared" si="6"/>
        <v>1577180</v>
      </c>
      <c r="B9" s="18">
        <f t="shared" si="7"/>
        <v>41551</v>
      </c>
      <c r="C9" s="17">
        <v>7169</v>
      </c>
      <c r="D9" s="19">
        <f>+C9/C8-1</f>
        <v>-5.9556605011150454E-2</v>
      </c>
      <c r="E9" s="20"/>
      <c r="F9" s="13"/>
      <c r="G9" s="13"/>
      <c r="H9" s="13"/>
      <c r="I9" s="13"/>
      <c r="J9" s="13"/>
      <c r="N9" s="25">
        <v>21193987.789387118</v>
      </c>
      <c r="O9" t="str">
        <f t="shared" si="0"/>
        <v>R 18-22</v>
      </c>
      <c r="P9">
        <f t="shared" si="2"/>
        <v>1</v>
      </c>
      <c r="R9" s="2">
        <f t="shared" si="1"/>
        <v>26400187.332301583</v>
      </c>
      <c r="S9" s="2">
        <f t="shared" si="5"/>
        <v>26.400187332301584</v>
      </c>
      <c r="T9" s="21" t="str">
        <f t="shared" si="3"/>
        <v>R 26-30</v>
      </c>
      <c r="U9">
        <f t="shared" si="4"/>
        <v>19</v>
      </c>
    </row>
    <row r="10" spans="1:21" ht="15.6" x14ac:dyDescent="0.3">
      <c r="A10" s="17">
        <f t="shared" si="6"/>
        <v>1377200</v>
      </c>
      <c r="B10" s="18">
        <f t="shared" si="7"/>
        <v>41558</v>
      </c>
      <c r="C10" s="17">
        <v>6260</v>
      </c>
      <c r="D10" s="19">
        <f t="shared" ref="D10:D11" si="8">+C10/C9-1</f>
        <v>-0.12679592690751851</v>
      </c>
      <c r="E10" s="28">
        <f>+C10/C6-1</f>
        <v>8.0801104972375581E-2</v>
      </c>
      <c r="F10" s="13">
        <f>+C10-C9</f>
        <v>-909</v>
      </c>
      <c r="G10" s="13">
        <f>F10*0.22</f>
        <v>-199.98</v>
      </c>
      <c r="H10" s="13">
        <f>+G10*52</f>
        <v>-10398.959999999999</v>
      </c>
      <c r="I10" s="13"/>
      <c r="J10" s="13"/>
      <c r="N10" s="25">
        <v>25260507.7637267</v>
      </c>
      <c r="O10" t="str">
        <f t="shared" si="0"/>
        <v>R 22-26</v>
      </c>
      <c r="P10">
        <f t="shared" si="2"/>
        <v>1</v>
      </c>
      <c r="R10" s="2">
        <f t="shared" si="1"/>
        <v>30171642.665487524</v>
      </c>
      <c r="S10" s="2">
        <f t="shared" si="5"/>
        <v>30.171642665487525</v>
      </c>
      <c r="T10" s="21" t="str">
        <f t="shared" si="3"/>
        <v>R 30-33</v>
      </c>
      <c r="U10">
        <f t="shared" si="4"/>
        <v>26</v>
      </c>
    </row>
    <row r="11" spans="1:21" ht="15.6" x14ac:dyDescent="0.3">
      <c r="A11" s="17">
        <f t="shared" si="6"/>
        <v>1443640</v>
      </c>
      <c r="B11" s="18">
        <f t="shared" si="7"/>
        <v>41565</v>
      </c>
      <c r="C11" s="17">
        <v>6562</v>
      </c>
      <c r="D11" s="19">
        <f t="shared" si="8"/>
        <v>4.8242811501597371E-2</v>
      </c>
      <c r="E11" s="20"/>
      <c r="F11" s="13">
        <f t="shared" ref="F11:F74" si="9">+C11-C10</f>
        <v>302</v>
      </c>
      <c r="G11" s="13">
        <f t="shared" ref="G11:G74" si="10">F11*0.22</f>
        <v>66.44</v>
      </c>
      <c r="H11" s="13">
        <f t="shared" ref="H11:H74" si="11">+G11*52</f>
        <v>3454.88</v>
      </c>
      <c r="I11" s="13"/>
      <c r="J11" s="13"/>
      <c r="N11" s="25">
        <v>20123535.315928627</v>
      </c>
      <c r="O11" t="str">
        <f t="shared" si="0"/>
        <v>R 18-22</v>
      </c>
      <c r="P11">
        <f t="shared" si="2"/>
        <v>1</v>
      </c>
      <c r="R11" s="2">
        <f t="shared" si="1"/>
        <v>33943097.998673469</v>
      </c>
      <c r="S11" s="2">
        <f t="shared" si="5"/>
        <v>33.943097998673466</v>
      </c>
      <c r="T11" s="21" t="str">
        <f t="shared" si="3"/>
        <v>R 33-37</v>
      </c>
      <c r="U11">
        <f t="shared" si="4"/>
        <v>8</v>
      </c>
    </row>
    <row r="12" spans="1:21" ht="15.75" x14ac:dyDescent="0.25">
      <c r="A12" s="11">
        <f t="shared" si="6"/>
        <v>1372800</v>
      </c>
      <c r="B12" s="12">
        <f t="shared" si="7"/>
        <v>41572</v>
      </c>
      <c r="C12" s="17">
        <v>6240</v>
      </c>
      <c r="D12" s="19">
        <f t="shared" ref="D12" si="12">+C12/C11-1</f>
        <v>-4.907040536421825E-2</v>
      </c>
      <c r="E12" s="13"/>
      <c r="F12" s="11">
        <f t="shared" si="9"/>
        <v>-322</v>
      </c>
      <c r="G12" s="27">
        <f t="shared" si="10"/>
        <v>-70.84</v>
      </c>
      <c r="H12" s="27">
        <f t="shared" si="11"/>
        <v>-3683.6800000000003</v>
      </c>
      <c r="I12" s="13"/>
      <c r="J12" s="13"/>
      <c r="N12" s="25">
        <v>99946673.4706292</v>
      </c>
      <c r="O12" t="str">
        <f t="shared" si="0"/>
        <v>R 49-0</v>
      </c>
      <c r="P12">
        <f t="shared" si="2"/>
        <v>1</v>
      </c>
      <c r="R12" s="2">
        <f t="shared" si="1"/>
        <v>37714553.33185941</v>
      </c>
      <c r="S12" s="2">
        <f t="shared" si="5"/>
        <v>37.714553331859406</v>
      </c>
      <c r="T12" s="21" t="str">
        <f t="shared" si="3"/>
        <v>R 37-41</v>
      </c>
      <c r="U12">
        <f t="shared" si="4"/>
        <v>13</v>
      </c>
    </row>
    <row r="13" spans="1:21" ht="15.75" x14ac:dyDescent="0.25">
      <c r="A13" s="11">
        <f t="shared" ca="1" si="6"/>
        <v>1482624.0000000002</v>
      </c>
      <c r="B13" s="12">
        <f t="shared" si="7"/>
        <v>41579</v>
      </c>
      <c r="C13" s="11">
        <f t="shared" ref="C12:C13" ca="1" si="13">C12*(1+D13)</f>
        <v>6739.2000000000007</v>
      </c>
      <c r="D13" s="15">
        <f t="shared" ref="D12:D73" ca="1" si="14">(INT(RAND()*($H$1-$G$1)+$G$1)/100)*$F$1</f>
        <v>0.08</v>
      </c>
      <c r="E13" s="13"/>
      <c r="F13" s="11">
        <f t="shared" ca="1" si="9"/>
        <v>499.20000000000073</v>
      </c>
      <c r="G13" s="27">
        <f t="shared" ca="1" si="10"/>
        <v>109.82400000000015</v>
      </c>
      <c r="H13" s="27">
        <f t="shared" ca="1" si="11"/>
        <v>5710.8480000000081</v>
      </c>
      <c r="I13" s="13"/>
      <c r="J13" s="13"/>
      <c r="N13" s="25">
        <v>40595996.832593657</v>
      </c>
      <c r="O13" t="str">
        <f t="shared" si="0"/>
        <v>R 37-41</v>
      </c>
      <c r="P13">
        <f t="shared" si="2"/>
        <v>1</v>
      </c>
      <c r="R13" s="2">
        <f t="shared" si="1"/>
        <v>41486008.665045343</v>
      </c>
      <c r="S13" s="2">
        <f t="shared" si="5"/>
        <v>41.486008665045347</v>
      </c>
      <c r="T13" s="21" t="str">
        <f t="shared" si="3"/>
        <v>R 41-45</v>
      </c>
      <c r="U13">
        <f t="shared" si="4"/>
        <v>5</v>
      </c>
    </row>
    <row r="14" spans="1:21" ht="15.75" x14ac:dyDescent="0.25">
      <c r="A14" s="11">
        <f t="shared" ca="1" si="6"/>
        <v>1571581.4400000004</v>
      </c>
      <c r="B14" s="12">
        <f t="shared" ref="B14:B19" si="15">+B13+7</f>
        <v>41586</v>
      </c>
      <c r="C14" s="11">
        <f t="shared" ref="C14:C19" ca="1" si="16">C13*(1+D14)</f>
        <v>7143.5520000000015</v>
      </c>
      <c r="D14" s="15">
        <f t="shared" ca="1" si="14"/>
        <v>0.06</v>
      </c>
      <c r="E14" s="14">
        <f ca="1">+C14/C10-1</f>
        <v>0.14114249201277973</v>
      </c>
      <c r="F14" s="11">
        <f t="shared" ca="1" si="9"/>
        <v>404.35200000000077</v>
      </c>
      <c r="G14" s="27">
        <f t="shared" ca="1" si="10"/>
        <v>88.957440000000176</v>
      </c>
      <c r="H14" s="27">
        <f t="shared" ca="1" si="11"/>
        <v>4625.7868800000088</v>
      </c>
      <c r="I14" s="13"/>
      <c r="J14" s="13"/>
      <c r="N14" s="25">
        <v>23631154.327548932</v>
      </c>
      <c r="O14" t="str">
        <f t="shared" si="0"/>
        <v>R 22-26</v>
      </c>
      <c r="P14">
        <f t="shared" si="2"/>
        <v>1</v>
      </c>
      <c r="R14" s="2">
        <f t="shared" si="1"/>
        <v>45257463.998231284</v>
      </c>
      <c r="S14" s="2">
        <f t="shared" si="5"/>
        <v>45.257463998231287</v>
      </c>
      <c r="T14" s="21" t="str">
        <f t="shared" si="3"/>
        <v>R 45-49</v>
      </c>
      <c r="U14">
        <f t="shared" si="4"/>
        <v>5</v>
      </c>
    </row>
    <row r="15" spans="1:21" ht="15.75" x14ac:dyDescent="0.25">
      <c r="A15" s="11">
        <f t="shared" ca="1" si="6"/>
        <v>1650160.5120000003</v>
      </c>
      <c r="B15" s="12">
        <f t="shared" si="15"/>
        <v>41593</v>
      </c>
      <c r="C15" s="11">
        <f t="shared" ca="1" si="16"/>
        <v>7500.7296000000015</v>
      </c>
      <c r="D15" s="15">
        <f t="shared" ca="1" si="14"/>
        <v>0.05</v>
      </c>
      <c r="E15" s="13"/>
      <c r="F15" s="11">
        <f t="shared" ca="1" si="9"/>
        <v>357.17759999999998</v>
      </c>
      <c r="G15" s="27">
        <f t="shared" ca="1" si="10"/>
        <v>78.579071999999996</v>
      </c>
      <c r="H15" s="27">
        <f t="shared" ca="1" si="11"/>
        <v>4086.1117439999998</v>
      </c>
      <c r="I15" s="13"/>
      <c r="J15" s="13"/>
      <c r="N15" s="25">
        <v>54556569.184658408</v>
      </c>
      <c r="O15" t="str">
        <f t="shared" si="0"/>
        <v>R 49-0</v>
      </c>
      <c r="P15">
        <f t="shared" si="2"/>
        <v>1</v>
      </c>
      <c r="R15" s="2">
        <f t="shared" si="1"/>
        <v>49028919.331417225</v>
      </c>
      <c r="S15" s="2">
        <f>+AVERAGE(N2:N301)*2/1000000</f>
        <v>49.028919331417228</v>
      </c>
      <c r="T15" s="21" t="str">
        <f t="shared" si="3"/>
        <v>R 49-0</v>
      </c>
      <c r="U15">
        <f t="shared" si="4"/>
        <v>22</v>
      </c>
    </row>
    <row r="16" spans="1:21" x14ac:dyDescent="0.25">
      <c r="A16" s="11">
        <f t="shared" ca="1" si="6"/>
        <v>1633658.9068800004</v>
      </c>
      <c r="B16" s="12">
        <f t="shared" si="15"/>
        <v>41600</v>
      </c>
      <c r="C16" s="11">
        <f t="shared" ca="1" si="16"/>
        <v>7425.7223040000017</v>
      </c>
      <c r="D16" s="15">
        <f t="shared" ca="1" si="14"/>
        <v>-0.01</v>
      </c>
      <c r="E16" s="13"/>
      <c r="F16" s="11">
        <f t="shared" ca="1" si="9"/>
        <v>-75.007295999999769</v>
      </c>
      <c r="G16" s="27">
        <f t="shared" ca="1" si="10"/>
        <v>-16.501605119999951</v>
      </c>
      <c r="H16" s="27">
        <f t="shared" ca="1" si="11"/>
        <v>-858.08346623999751</v>
      </c>
      <c r="I16" s="13"/>
      <c r="J16" s="13"/>
      <c r="N16" s="25">
        <v>26099226.064625625</v>
      </c>
      <c r="O16" t="str">
        <f t="shared" si="0"/>
        <v>R 22-26</v>
      </c>
      <c r="P16">
        <f t="shared" si="2"/>
        <v>1</v>
      </c>
      <c r="R16" s="2"/>
      <c r="S16" s="2"/>
      <c r="U16">
        <f>SUM(U2:U15)</f>
        <v>300</v>
      </c>
    </row>
    <row r="17" spans="1:19" x14ac:dyDescent="0.25">
      <c r="A17" s="11">
        <f t="shared" ca="1" si="6"/>
        <v>1486629.6052608003</v>
      </c>
      <c r="B17" s="12">
        <f t="shared" si="15"/>
        <v>41607</v>
      </c>
      <c r="C17" s="11">
        <f t="shared" ca="1" si="16"/>
        <v>6757.4072966400017</v>
      </c>
      <c r="D17" s="15">
        <f t="shared" ca="1" si="14"/>
        <v>-0.09</v>
      </c>
      <c r="E17" s="13"/>
      <c r="F17" s="11">
        <f t="shared" ca="1" si="9"/>
        <v>-668.31500735999998</v>
      </c>
      <c r="G17" s="27">
        <f t="shared" ca="1" si="10"/>
        <v>-147.0293016192</v>
      </c>
      <c r="H17" s="27">
        <f t="shared" ca="1" si="11"/>
        <v>-7645.5236841983997</v>
      </c>
      <c r="I17" s="13"/>
      <c r="J17" s="13"/>
      <c r="N17" s="25">
        <v>10258193.904612891</v>
      </c>
      <c r="O17" t="str">
        <f t="shared" si="0"/>
        <v>R 7-11</v>
      </c>
      <c r="P17">
        <f t="shared" si="2"/>
        <v>1</v>
      </c>
      <c r="R17" s="2"/>
      <c r="S17" s="2"/>
    </row>
    <row r="18" spans="1:19" x14ac:dyDescent="0.25">
      <c r="A18" s="11">
        <f t="shared" ca="1" si="6"/>
        <v>1382565.5328925443</v>
      </c>
      <c r="B18" s="12">
        <f t="shared" si="15"/>
        <v>41614</v>
      </c>
      <c r="C18" s="11">
        <f t="shared" ca="1" si="16"/>
        <v>6284.3887858752014</v>
      </c>
      <c r="D18" s="15">
        <f t="shared" ca="1" si="14"/>
        <v>-7.0000000000000007E-2</v>
      </c>
      <c r="E18" s="14">
        <f ca="1">+C18/C14-1</f>
        <v>-0.12027114999999999</v>
      </c>
      <c r="F18" s="11">
        <f t="shared" ca="1" si="9"/>
        <v>-473.01851076480034</v>
      </c>
      <c r="G18" s="27">
        <f t="shared" ca="1" si="10"/>
        <v>-104.06407236825608</v>
      </c>
      <c r="H18" s="27">
        <f t="shared" ca="1" si="11"/>
        <v>-5411.3317631493164</v>
      </c>
      <c r="I18" s="13"/>
      <c r="J18" s="13"/>
      <c r="N18" s="25">
        <v>27217519.290969446</v>
      </c>
      <c r="O18" t="str">
        <f t="shared" si="0"/>
        <v>R 26-30</v>
      </c>
      <c r="P18">
        <f t="shared" si="2"/>
        <v>1</v>
      </c>
    </row>
    <row r="19" spans="1:19" x14ac:dyDescent="0.25">
      <c r="A19" s="11">
        <f t="shared" ca="1" si="6"/>
        <v>1451693.8095371714</v>
      </c>
      <c r="B19" s="12">
        <f t="shared" si="15"/>
        <v>41621</v>
      </c>
      <c r="C19" s="11">
        <f t="shared" ca="1" si="16"/>
        <v>6598.6082251689613</v>
      </c>
      <c r="D19" s="15">
        <f t="shared" ca="1" si="14"/>
        <v>0.05</v>
      </c>
      <c r="E19" s="13"/>
      <c r="F19" s="11">
        <f t="shared" ca="1" si="9"/>
        <v>314.21943929375993</v>
      </c>
      <c r="G19" s="27">
        <f t="shared" ca="1" si="10"/>
        <v>69.128276644627192</v>
      </c>
      <c r="H19" s="27">
        <f t="shared" ca="1" si="11"/>
        <v>3594.6703855206142</v>
      </c>
      <c r="I19" s="13"/>
      <c r="J19" s="13"/>
      <c r="N19" s="25">
        <v>15133341.981661078</v>
      </c>
      <c r="O19" t="str">
        <f t="shared" si="0"/>
        <v>R 15-18</v>
      </c>
      <c r="P19">
        <f t="shared" si="2"/>
        <v>1</v>
      </c>
    </row>
    <row r="20" spans="1:19" x14ac:dyDescent="0.25">
      <c r="A20" s="11">
        <f t="shared" ca="1" si="6"/>
        <v>1727515.633349234</v>
      </c>
      <c r="B20" s="12">
        <f t="shared" ref="B20:B21" si="17">+B19+7</f>
        <v>41628</v>
      </c>
      <c r="C20" s="11">
        <f t="shared" ref="C20:C21" ca="1" si="18">C19*(1+D20)</f>
        <v>7852.3437879510639</v>
      </c>
      <c r="D20" s="15">
        <f t="shared" ca="1" si="14"/>
        <v>0.19</v>
      </c>
      <c r="E20" s="13"/>
      <c r="F20" s="11">
        <f t="shared" ca="1" si="9"/>
        <v>1253.7355627821025</v>
      </c>
      <c r="G20" s="27">
        <f t="shared" ca="1" si="10"/>
        <v>275.82182381206258</v>
      </c>
      <c r="H20" s="27">
        <f t="shared" ca="1" si="11"/>
        <v>14342.734838227254</v>
      </c>
      <c r="I20" s="13"/>
      <c r="J20" s="13"/>
      <c r="N20" s="25">
        <v>31506913.328973126</v>
      </c>
      <c r="O20" t="str">
        <f t="shared" si="0"/>
        <v>R 30-33</v>
      </c>
      <c r="P20">
        <f t="shared" si="2"/>
        <v>1</v>
      </c>
    </row>
    <row r="21" spans="1:19" x14ac:dyDescent="0.25">
      <c r="A21" s="11">
        <f t="shared" ca="1" si="6"/>
        <v>1692965.3206822493</v>
      </c>
      <c r="B21" s="12">
        <f t="shared" si="17"/>
        <v>41635</v>
      </c>
      <c r="C21" s="11">
        <f t="shared" ca="1" si="18"/>
        <v>7695.2969121920423</v>
      </c>
      <c r="D21" s="15">
        <f t="shared" ca="1" si="14"/>
        <v>-0.02</v>
      </c>
      <c r="E21" s="13"/>
      <c r="F21" s="11">
        <f t="shared" ca="1" si="9"/>
        <v>-157.04687575902153</v>
      </c>
      <c r="G21" s="27">
        <f t="shared" ca="1" si="10"/>
        <v>-34.550312666984738</v>
      </c>
      <c r="H21" s="27">
        <f t="shared" ca="1" si="11"/>
        <v>-1796.6162586832063</v>
      </c>
      <c r="I21" s="13"/>
      <c r="J21" s="13"/>
      <c r="N21" s="25">
        <v>22532906.11275059</v>
      </c>
      <c r="O21" t="str">
        <f t="shared" si="0"/>
        <v>R 18-22</v>
      </c>
      <c r="P21">
        <f t="shared" si="2"/>
        <v>1</v>
      </c>
    </row>
    <row r="22" spans="1:19" x14ac:dyDescent="0.25">
      <c r="A22" s="11">
        <f t="shared" ref="A22:A25" ca="1" si="19">C22*220</f>
        <v>1946910.1187845867</v>
      </c>
      <c r="B22" s="12">
        <f t="shared" ref="B22:B25" si="20">+B21+7</f>
        <v>41642</v>
      </c>
      <c r="C22" s="11">
        <f t="shared" ref="C22:C25" ca="1" si="21">C21*(1+D22)</f>
        <v>8849.5914490208488</v>
      </c>
      <c r="D22" s="15">
        <f t="shared" ca="1" si="14"/>
        <v>0.15</v>
      </c>
      <c r="E22" s="14">
        <f ca="1">+C22/C18-1</f>
        <v>0.40818650000000001</v>
      </c>
      <c r="F22" s="11">
        <f t="shared" ca="1" si="9"/>
        <v>1154.2945368288065</v>
      </c>
      <c r="G22" s="27">
        <f t="shared" ca="1" si="10"/>
        <v>253.94479810233742</v>
      </c>
      <c r="H22" s="27">
        <f t="shared" ca="1" si="11"/>
        <v>13205.129501321546</v>
      </c>
      <c r="I22" s="13"/>
      <c r="J22" s="13"/>
      <c r="N22" s="25">
        <v>14675578.456770031</v>
      </c>
      <c r="O22" t="str">
        <f t="shared" si="0"/>
        <v>R 11-15</v>
      </c>
      <c r="P22">
        <f t="shared" si="2"/>
        <v>1</v>
      </c>
    </row>
    <row r="23" spans="1:19" x14ac:dyDescent="0.25">
      <c r="A23" s="11">
        <f t="shared" ca="1" si="19"/>
        <v>2336292.142541504</v>
      </c>
      <c r="B23" s="12">
        <f t="shared" si="20"/>
        <v>41649</v>
      </c>
      <c r="C23" s="11">
        <f t="shared" ca="1" si="21"/>
        <v>10619.509738825018</v>
      </c>
      <c r="D23" s="15">
        <f t="shared" ca="1" si="14"/>
        <v>0.2</v>
      </c>
      <c r="E23" s="13"/>
      <c r="F23" s="11">
        <f t="shared" ca="1" si="9"/>
        <v>1769.918289804169</v>
      </c>
      <c r="G23" s="27">
        <f t="shared" ca="1" si="10"/>
        <v>389.38202375691719</v>
      </c>
      <c r="H23" s="27">
        <f t="shared" ca="1" si="11"/>
        <v>20247.865235359695</v>
      </c>
      <c r="I23" s="13"/>
      <c r="J23" s="13"/>
      <c r="N23" s="25">
        <v>5938341.9273711378</v>
      </c>
      <c r="O23" t="str">
        <f t="shared" si="0"/>
        <v>R 3-7</v>
      </c>
      <c r="P23">
        <f t="shared" si="2"/>
        <v>1</v>
      </c>
    </row>
    <row r="24" spans="1:19" x14ac:dyDescent="0.25">
      <c r="A24" s="11">
        <f t="shared" ca="1" si="19"/>
        <v>2336292.142541504</v>
      </c>
      <c r="B24" s="12">
        <f t="shared" si="20"/>
        <v>41656</v>
      </c>
      <c r="C24" s="11">
        <f t="shared" ca="1" si="21"/>
        <v>10619.509738825018</v>
      </c>
      <c r="D24" s="15">
        <f t="shared" ca="1" si="14"/>
        <v>0</v>
      </c>
      <c r="E24" s="13"/>
      <c r="F24" s="11">
        <f t="shared" ca="1" si="9"/>
        <v>0</v>
      </c>
      <c r="G24" s="27">
        <f t="shared" ca="1" si="10"/>
        <v>0</v>
      </c>
      <c r="H24" s="27">
        <f t="shared" ca="1" si="11"/>
        <v>0</v>
      </c>
      <c r="I24" s="13"/>
      <c r="J24" s="13"/>
      <c r="N24" s="25">
        <v>31808610.275093183</v>
      </c>
      <c r="O24" t="str">
        <f t="shared" si="0"/>
        <v>R 30-33</v>
      </c>
      <c r="P24">
        <f t="shared" si="2"/>
        <v>1</v>
      </c>
    </row>
    <row r="25" spans="1:19" x14ac:dyDescent="0.25">
      <c r="A25" s="11">
        <f t="shared" ca="1" si="19"/>
        <v>2780187.6496243896</v>
      </c>
      <c r="B25" s="12">
        <f t="shared" si="20"/>
        <v>41663</v>
      </c>
      <c r="C25" s="11">
        <f t="shared" ca="1" si="21"/>
        <v>12637.216589201771</v>
      </c>
      <c r="D25" s="15">
        <f t="shared" ca="1" si="14"/>
        <v>0.19</v>
      </c>
      <c r="E25" s="13"/>
      <c r="F25" s="11">
        <f t="shared" ca="1" si="9"/>
        <v>2017.7068503767532</v>
      </c>
      <c r="G25" s="27">
        <f t="shared" ca="1" si="10"/>
        <v>443.89550708288573</v>
      </c>
      <c r="H25" s="27">
        <f t="shared" ca="1" si="11"/>
        <v>23082.566368310057</v>
      </c>
      <c r="I25" s="13"/>
      <c r="J25" s="13"/>
      <c r="N25" s="25">
        <v>26601883.005737744</v>
      </c>
      <c r="O25" t="str">
        <f t="shared" si="0"/>
        <v>R 26-30</v>
      </c>
      <c r="P25">
        <f t="shared" si="2"/>
        <v>1</v>
      </c>
    </row>
    <row r="26" spans="1:19" x14ac:dyDescent="0.25">
      <c r="A26" s="11">
        <f t="shared" ref="A26:A34" ca="1" si="22">C26*220</f>
        <v>3197215.7970680478</v>
      </c>
      <c r="B26" s="12">
        <f t="shared" ref="B26:B74" si="23">+B25+7</f>
        <v>41670</v>
      </c>
      <c r="C26" s="11">
        <f t="shared" ref="C26:C34" ca="1" si="24">C25*(1+D26)</f>
        <v>14532.799077582036</v>
      </c>
      <c r="D26" s="15">
        <f t="shared" ca="1" si="14"/>
        <v>0.15</v>
      </c>
      <c r="E26" s="14">
        <f ca="1">+C26/C22-1</f>
        <v>0.64219999999999988</v>
      </c>
      <c r="F26" s="11">
        <f t="shared" ca="1" si="9"/>
        <v>1895.5824883802652</v>
      </c>
      <c r="G26" s="27">
        <f t="shared" ca="1" si="10"/>
        <v>417.02814744365833</v>
      </c>
      <c r="H26" s="27">
        <f t="shared" ca="1" si="11"/>
        <v>21685.463667070231</v>
      </c>
      <c r="I26" s="13"/>
      <c r="J26" s="13"/>
      <c r="N26" s="25">
        <v>12256458.756041534</v>
      </c>
      <c r="O26" t="str">
        <f t="shared" si="0"/>
        <v>R 11-15</v>
      </c>
      <c r="P26">
        <f t="shared" si="2"/>
        <v>1</v>
      </c>
    </row>
    <row r="27" spans="1:19" x14ac:dyDescent="0.25">
      <c r="A27" s="11">
        <f t="shared" ca="1" si="22"/>
        <v>3037355.0072146454</v>
      </c>
      <c r="B27" s="12">
        <f t="shared" si="23"/>
        <v>41677</v>
      </c>
      <c r="C27" s="11">
        <f t="shared" ca="1" si="24"/>
        <v>13806.159123702933</v>
      </c>
      <c r="D27" s="15">
        <f t="shared" ca="1" si="14"/>
        <v>-0.05</v>
      </c>
      <c r="E27" s="13"/>
      <c r="F27" s="11">
        <f t="shared" ca="1" si="9"/>
        <v>-726.6399538791029</v>
      </c>
      <c r="G27" s="27">
        <f t="shared" ca="1" si="10"/>
        <v>-159.86078985340265</v>
      </c>
      <c r="H27" s="27">
        <f t="shared" ca="1" si="11"/>
        <v>-8312.7610723769376</v>
      </c>
      <c r="I27" s="13"/>
      <c r="J27" s="13"/>
      <c r="N27" s="25">
        <v>30424465.353099417</v>
      </c>
      <c r="O27" t="str">
        <f t="shared" si="0"/>
        <v>R 30-33</v>
      </c>
      <c r="P27">
        <f t="shared" si="2"/>
        <v>1</v>
      </c>
    </row>
    <row r="28" spans="1:19" x14ac:dyDescent="0.25">
      <c r="A28" s="11">
        <f t="shared" ca="1" si="22"/>
        <v>3462584.7082246961</v>
      </c>
      <c r="B28" s="12">
        <f t="shared" si="23"/>
        <v>41684</v>
      </c>
      <c r="C28" s="11">
        <f t="shared" ca="1" si="24"/>
        <v>15739.021401021346</v>
      </c>
      <c r="D28" s="15">
        <f t="shared" ca="1" si="14"/>
        <v>0.14000000000000001</v>
      </c>
      <c r="E28" s="13"/>
      <c r="F28" s="11">
        <f t="shared" ca="1" si="9"/>
        <v>1932.8622773184125</v>
      </c>
      <c r="G28" s="27">
        <f t="shared" ca="1" si="10"/>
        <v>425.22970101005075</v>
      </c>
      <c r="H28" s="27">
        <f t="shared" ca="1" si="11"/>
        <v>22111.944452522639</v>
      </c>
      <c r="I28" s="13"/>
      <c r="J28" s="13"/>
      <c r="N28" s="25">
        <v>6372564.3618767271</v>
      </c>
      <c r="O28" t="str">
        <f t="shared" si="0"/>
        <v>R 3-7</v>
      </c>
      <c r="P28">
        <f t="shared" si="2"/>
        <v>1</v>
      </c>
    </row>
    <row r="29" spans="1:19" x14ac:dyDescent="0.25">
      <c r="A29" s="11">
        <f t="shared" ca="1" si="22"/>
        <v>3358707.1669779555</v>
      </c>
      <c r="B29" s="12">
        <f t="shared" si="23"/>
        <v>41691</v>
      </c>
      <c r="C29" s="11">
        <f t="shared" ca="1" si="24"/>
        <v>15266.850758990706</v>
      </c>
      <c r="D29" s="15">
        <f t="shared" ca="1" si="14"/>
        <v>-0.03</v>
      </c>
      <c r="E29" s="13"/>
      <c r="F29" s="11">
        <f t="shared" ca="1" si="9"/>
        <v>-472.17064203064001</v>
      </c>
      <c r="G29" s="27">
        <f t="shared" ca="1" si="10"/>
        <v>-103.8775412467408</v>
      </c>
      <c r="H29" s="27">
        <f t="shared" ca="1" si="11"/>
        <v>-5401.6321448305216</v>
      </c>
      <c r="I29" s="13"/>
      <c r="J29" s="13"/>
      <c r="N29" s="25">
        <v>10035766.588103386</v>
      </c>
      <c r="O29" t="str">
        <f t="shared" si="0"/>
        <v>R 7-11</v>
      </c>
      <c r="P29">
        <f t="shared" si="2"/>
        <v>1</v>
      </c>
    </row>
    <row r="30" spans="1:19" x14ac:dyDescent="0.25">
      <c r="A30" s="11">
        <f t="shared" ca="1" si="22"/>
        <v>3157184.7369592781</v>
      </c>
      <c r="B30" s="12">
        <f t="shared" si="23"/>
        <v>41698</v>
      </c>
      <c r="C30" s="11">
        <f t="shared" ca="1" si="24"/>
        <v>14350.839713451263</v>
      </c>
      <c r="D30" s="15">
        <f t="shared" ca="1" si="14"/>
        <v>-0.06</v>
      </c>
      <c r="E30" s="14">
        <f ca="1">+C30/C26-1</f>
        <v>-1.2520599999999993E-2</v>
      </c>
      <c r="F30" s="11">
        <f t="shared" ca="1" si="9"/>
        <v>-916.01104553944242</v>
      </c>
      <c r="G30" s="27">
        <f t="shared" ca="1" si="10"/>
        <v>-201.52243001867734</v>
      </c>
      <c r="H30" s="27">
        <f t="shared" ca="1" si="11"/>
        <v>-10479.166360971221</v>
      </c>
      <c r="I30" s="13"/>
      <c r="J30" s="13"/>
      <c r="N30" s="25">
        <v>49095531.007424861</v>
      </c>
      <c r="O30" t="str">
        <f t="shared" si="0"/>
        <v>R 49-0</v>
      </c>
      <c r="P30">
        <f t="shared" si="2"/>
        <v>1</v>
      </c>
    </row>
    <row r="31" spans="1:19" x14ac:dyDescent="0.25">
      <c r="A31" s="11">
        <f t="shared" ca="1" si="22"/>
        <v>3188756.5843288708</v>
      </c>
      <c r="B31" s="12">
        <f t="shared" si="23"/>
        <v>41705</v>
      </c>
      <c r="C31" s="11">
        <f t="shared" ca="1" si="24"/>
        <v>14494.348110585775</v>
      </c>
      <c r="D31" s="15">
        <f t="shared" ca="1" si="14"/>
        <v>0.01</v>
      </c>
      <c r="E31" s="13"/>
      <c r="F31" s="11">
        <f t="shared" ca="1" si="9"/>
        <v>143.50839713451205</v>
      </c>
      <c r="G31" s="27">
        <f t="shared" ca="1" si="10"/>
        <v>31.57184736959265</v>
      </c>
      <c r="H31" s="27">
        <f t="shared" ca="1" si="11"/>
        <v>1641.7360632188179</v>
      </c>
      <c r="I31" s="13"/>
      <c r="J31" s="13"/>
      <c r="N31" s="25">
        <v>21388663.458950527</v>
      </c>
      <c r="O31" t="str">
        <f t="shared" si="0"/>
        <v>R 18-22</v>
      </c>
      <c r="P31">
        <f t="shared" si="2"/>
        <v>1</v>
      </c>
    </row>
    <row r="32" spans="1:19" x14ac:dyDescent="0.25">
      <c r="A32" s="11">
        <f t="shared" ca="1" si="22"/>
        <v>3284419.2818587371</v>
      </c>
      <c r="B32" s="12">
        <f t="shared" si="23"/>
        <v>41712</v>
      </c>
      <c r="C32" s="11">
        <f t="shared" ca="1" si="24"/>
        <v>14929.17855390335</v>
      </c>
      <c r="D32" s="15">
        <f t="shared" ca="1" si="14"/>
        <v>0.03</v>
      </c>
      <c r="E32" s="13"/>
      <c r="F32" s="11">
        <f t="shared" ca="1" si="9"/>
        <v>434.83044331757446</v>
      </c>
      <c r="G32" s="27">
        <f t="shared" ca="1" si="10"/>
        <v>95.662697529866378</v>
      </c>
      <c r="H32" s="27">
        <f t="shared" ca="1" si="11"/>
        <v>4974.4602715530518</v>
      </c>
      <c r="I32" s="13"/>
      <c r="J32" s="13"/>
      <c r="N32" s="25">
        <v>43971026.113105714</v>
      </c>
      <c r="O32" t="str">
        <f t="shared" si="0"/>
        <v>R 41-45</v>
      </c>
      <c r="P32">
        <f t="shared" si="2"/>
        <v>1</v>
      </c>
    </row>
    <row r="33" spans="1:16" x14ac:dyDescent="0.25">
      <c r="A33" s="11">
        <f t="shared" ca="1" si="22"/>
        <v>3678549.5956817861</v>
      </c>
      <c r="B33" s="12">
        <f t="shared" si="23"/>
        <v>41719</v>
      </c>
      <c r="C33" s="11">
        <f t="shared" ca="1" si="24"/>
        <v>16720.679980371755</v>
      </c>
      <c r="D33" s="15">
        <f t="shared" ca="1" si="14"/>
        <v>0.12</v>
      </c>
      <c r="E33" s="13"/>
      <c r="F33" s="11">
        <f t="shared" ca="1" si="9"/>
        <v>1791.501426468405</v>
      </c>
      <c r="G33" s="27">
        <f t="shared" ca="1" si="10"/>
        <v>394.13031382304911</v>
      </c>
      <c r="H33" s="27">
        <f t="shared" ca="1" si="11"/>
        <v>20494.776318798555</v>
      </c>
      <c r="I33" s="13"/>
      <c r="J33" s="13"/>
      <c r="N33" s="25">
        <v>26912904.127641108</v>
      </c>
      <c r="O33" t="str">
        <f t="shared" si="0"/>
        <v>R 26-30</v>
      </c>
      <c r="P33">
        <f t="shared" si="2"/>
        <v>1</v>
      </c>
    </row>
    <row r="34" spans="1:16" x14ac:dyDescent="0.25">
      <c r="A34" s="11">
        <f t="shared" ca="1" si="22"/>
        <v>3899262.5714226933</v>
      </c>
      <c r="B34" s="12">
        <f t="shared" si="23"/>
        <v>41726</v>
      </c>
      <c r="C34" s="11">
        <f t="shared" ca="1" si="24"/>
        <v>17723.920779194061</v>
      </c>
      <c r="D34" s="15">
        <f t="shared" ca="1" si="14"/>
        <v>0.06</v>
      </c>
      <c r="E34" s="14">
        <f ca="1">+C34/C30-1</f>
        <v>0.23504416000000039</v>
      </c>
      <c r="F34" s="11">
        <f t="shared" ca="1" si="9"/>
        <v>1003.2407988223058</v>
      </c>
      <c r="G34" s="27">
        <f t="shared" ca="1" si="10"/>
        <v>220.71297574090727</v>
      </c>
      <c r="H34" s="27">
        <f t="shared" ca="1" si="11"/>
        <v>11477.074738527179</v>
      </c>
      <c r="I34" s="13"/>
      <c r="J34" s="13"/>
      <c r="N34" s="25">
        <v>20790388.159959763</v>
      </c>
      <c r="O34" t="str">
        <f t="shared" ref="O34:O65" si="25">VLOOKUP(N34,$R$2:$T$15,3,TRUE)</f>
        <v>R 18-22</v>
      </c>
      <c r="P34">
        <f t="shared" si="2"/>
        <v>1</v>
      </c>
    </row>
    <row r="35" spans="1:16" x14ac:dyDescent="0.25">
      <c r="A35" s="11">
        <f t="shared" ref="A35:A54" ca="1" si="26">C35*220</f>
        <v>3821277.3199942391</v>
      </c>
      <c r="B35" s="12">
        <f t="shared" si="23"/>
        <v>41733</v>
      </c>
      <c r="C35" s="11">
        <f t="shared" ref="C35:C54" ca="1" si="27">C34*(1+D35)</f>
        <v>17369.442363610178</v>
      </c>
      <c r="D35" s="15">
        <f t="shared" ca="1" si="14"/>
        <v>-0.02</v>
      </c>
      <c r="E35" s="13"/>
      <c r="F35" s="11">
        <f t="shared" ca="1" si="9"/>
        <v>-354.47841558388245</v>
      </c>
      <c r="G35" s="27">
        <f t="shared" ca="1" si="10"/>
        <v>-77.985251428454134</v>
      </c>
      <c r="H35" s="27">
        <f t="shared" ca="1" si="11"/>
        <v>-4055.2330742796148</v>
      </c>
      <c r="I35" s="13"/>
      <c r="J35" s="13"/>
      <c r="N35" s="25">
        <v>11722569.692667997</v>
      </c>
      <c r="O35" t="str">
        <f t="shared" si="25"/>
        <v>R 11-15</v>
      </c>
      <c r="P35">
        <f t="shared" si="2"/>
        <v>1</v>
      </c>
    </row>
    <row r="36" spans="1:16" x14ac:dyDescent="0.25">
      <c r="A36" s="11">
        <f t="shared" ca="1" si="26"/>
        <v>3744851.7735943547</v>
      </c>
      <c r="B36" s="12">
        <f t="shared" si="23"/>
        <v>41740</v>
      </c>
      <c r="C36" s="11">
        <f t="shared" ca="1" si="27"/>
        <v>17022.053516337975</v>
      </c>
      <c r="D36" s="15">
        <f t="shared" ca="1" si="14"/>
        <v>-0.02</v>
      </c>
      <c r="E36" s="13"/>
      <c r="F36" s="11">
        <f t="shared" ca="1" si="9"/>
        <v>-347.38884727220284</v>
      </c>
      <c r="G36" s="27">
        <f t="shared" ca="1" si="10"/>
        <v>-76.425546399884624</v>
      </c>
      <c r="H36" s="27">
        <f t="shared" ca="1" si="11"/>
        <v>-3974.1284127940003</v>
      </c>
      <c r="I36" s="13"/>
      <c r="J36" s="13"/>
      <c r="N36" s="25">
        <v>19080891.201751065</v>
      </c>
      <c r="O36" t="str">
        <f t="shared" si="25"/>
        <v>R 18-22</v>
      </c>
      <c r="P36">
        <f t="shared" si="2"/>
        <v>1</v>
      </c>
    </row>
    <row r="37" spans="1:16" x14ac:dyDescent="0.25">
      <c r="A37" s="11">
        <f t="shared" ca="1" si="26"/>
        <v>4231682.5041616196</v>
      </c>
      <c r="B37" s="12">
        <f t="shared" si="23"/>
        <v>41747</v>
      </c>
      <c r="C37" s="11">
        <f t="shared" ca="1" si="27"/>
        <v>19234.920473461909</v>
      </c>
      <c r="D37" s="15">
        <f t="shared" ca="1" si="14"/>
        <v>0.13</v>
      </c>
      <c r="E37" s="13"/>
      <c r="F37" s="11">
        <f t="shared" ca="1" si="9"/>
        <v>2212.8669571239334</v>
      </c>
      <c r="G37" s="27">
        <f t="shared" ca="1" si="10"/>
        <v>486.83073056726533</v>
      </c>
      <c r="H37" s="27">
        <f t="shared" ca="1" si="11"/>
        <v>25315.197989497796</v>
      </c>
      <c r="I37" s="13"/>
      <c r="J37" s="13"/>
      <c r="N37" s="25">
        <v>12637172.036678581</v>
      </c>
      <c r="O37" t="str">
        <f t="shared" si="25"/>
        <v>R 11-15</v>
      </c>
      <c r="P37">
        <f t="shared" si="2"/>
        <v>1</v>
      </c>
    </row>
    <row r="38" spans="1:16" x14ac:dyDescent="0.25">
      <c r="A38" s="11">
        <f t="shared" ca="1" si="26"/>
        <v>3850831.0787870744</v>
      </c>
      <c r="B38" s="12">
        <f t="shared" si="23"/>
        <v>41754</v>
      </c>
      <c r="C38" s="11">
        <f t="shared" ca="1" si="27"/>
        <v>17503.777630850338</v>
      </c>
      <c r="D38" s="15">
        <f t="shared" ca="1" si="14"/>
        <v>-0.09</v>
      </c>
      <c r="E38" s="14">
        <f ca="1">+C38/C34-1</f>
        <v>-1.2420680000000184E-2</v>
      </c>
      <c r="F38" s="11">
        <f t="shared" ca="1" si="9"/>
        <v>-1731.1428426115708</v>
      </c>
      <c r="G38" s="27">
        <f t="shared" ca="1" si="10"/>
        <v>-380.85142537454556</v>
      </c>
      <c r="H38" s="27">
        <f t="shared" ca="1" si="11"/>
        <v>-19804.274119476369</v>
      </c>
      <c r="I38" s="13"/>
      <c r="J38" s="13"/>
      <c r="N38" s="25">
        <v>14723250.993169982</v>
      </c>
      <c r="O38" t="str">
        <f t="shared" si="25"/>
        <v>R 11-15</v>
      </c>
      <c r="P38">
        <f t="shared" si="2"/>
        <v>1</v>
      </c>
    </row>
    <row r="39" spans="1:16" x14ac:dyDescent="0.25">
      <c r="A39" s="11">
        <f t="shared" ca="1" si="26"/>
        <v>4389947.4298172649</v>
      </c>
      <c r="B39" s="12">
        <f t="shared" si="23"/>
        <v>41761</v>
      </c>
      <c r="C39" s="11">
        <f t="shared" ca="1" si="27"/>
        <v>19954.306499169386</v>
      </c>
      <c r="D39" s="15">
        <f t="shared" ca="1" si="14"/>
        <v>0.14000000000000001</v>
      </c>
      <c r="E39" s="13"/>
      <c r="F39" s="11">
        <f t="shared" ca="1" si="9"/>
        <v>2450.5288683190483</v>
      </c>
      <c r="G39" s="27">
        <f t="shared" ca="1" si="10"/>
        <v>539.11635103019069</v>
      </c>
      <c r="H39" s="27">
        <f t="shared" ca="1" si="11"/>
        <v>28034.050253569916</v>
      </c>
      <c r="I39" s="13"/>
      <c r="J39" s="13"/>
      <c r="N39" s="25">
        <v>48402477.465435252</v>
      </c>
      <c r="O39" t="str">
        <f t="shared" si="25"/>
        <v>R 45-49</v>
      </c>
      <c r="P39">
        <f t="shared" si="2"/>
        <v>1</v>
      </c>
    </row>
    <row r="40" spans="1:16" x14ac:dyDescent="0.25">
      <c r="A40" s="11">
        <f t="shared" ca="1" si="26"/>
        <v>5004540.0699916827</v>
      </c>
      <c r="B40" s="12">
        <f t="shared" si="23"/>
        <v>41768</v>
      </c>
      <c r="C40" s="11">
        <f t="shared" ca="1" si="27"/>
        <v>22747.909409053103</v>
      </c>
      <c r="D40" s="15">
        <f t="shared" ca="1" si="14"/>
        <v>0.14000000000000001</v>
      </c>
      <c r="E40" s="13"/>
      <c r="F40" s="11">
        <f t="shared" ca="1" si="9"/>
        <v>2793.6029098837171</v>
      </c>
      <c r="G40" s="27">
        <f t="shared" ca="1" si="10"/>
        <v>614.59264017441774</v>
      </c>
      <c r="H40" s="27">
        <f t="shared" ca="1" si="11"/>
        <v>31958.817289069724</v>
      </c>
      <c r="I40" s="13"/>
      <c r="J40" s="13"/>
      <c r="N40" s="25">
        <v>20280421.193141453</v>
      </c>
      <c r="O40" t="str">
        <f t="shared" si="25"/>
        <v>R 18-22</v>
      </c>
      <c r="P40">
        <f t="shared" si="2"/>
        <v>1</v>
      </c>
    </row>
    <row r="41" spans="1:16" x14ac:dyDescent="0.25">
      <c r="A41" s="11">
        <f t="shared" ca="1" si="26"/>
        <v>5805266.4811903518</v>
      </c>
      <c r="B41" s="12">
        <f t="shared" si="23"/>
        <v>41775</v>
      </c>
      <c r="C41" s="11">
        <f t="shared" ca="1" si="27"/>
        <v>26387.574914501598</v>
      </c>
      <c r="D41" s="15">
        <f t="shared" ca="1" si="14"/>
        <v>0.16</v>
      </c>
      <c r="E41" s="13"/>
      <c r="F41" s="11">
        <f t="shared" ca="1" si="9"/>
        <v>3639.6655054484945</v>
      </c>
      <c r="G41" s="27">
        <f t="shared" ca="1" si="10"/>
        <v>800.72641119866876</v>
      </c>
      <c r="H41" s="27">
        <f t="shared" ca="1" si="11"/>
        <v>41637.773382330779</v>
      </c>
      <c r="I41" s="13"/>
      <c r="J41" s="13"/>
      <c r="N41" s="25">
        <v>30644142.580869954</v>
      </c>
      <c r="O41" t="str">
        <f t="shared" si="25"/>
        <v>R 30-33</v>
      </c>
      <c r="P41">
        <f t="shared" si="2"/>
        <v>1</v>
      </c>
    </row>
    <row r="42" spans="1:16" x14ac:dyDescent="0.25">
      <c r="A42" s="11">
        <f t="shared" ca="1" si="26"/>
        <v>6211635.1348736761</v>
      </c>
      <c r="B42" s="12">
        <f t="shared" si="23"/>
        <v>41782</v>
      </c>
      <c r="C42" s="11">
        <f t="shared" ca="1" si="27"/>
        <v>28234.70515851671</v>
      </c>
      <c r="D42" s="15">
        <f t="shared" ca="1" si="14"/>
        <v>7.0000000000000007E-2</v>
      </c>
      <c r="E42" s="14">
        <f ca="1">+C42/C38-1</f>
        <v>0.61306352000000008</v>
      </c>
      <c r="F42" s="11">
        <f t="shared" ca="1" si="9"/>
        <v>1847.1302440151121</v>
      </c>
      <c r="G42" s="27">
        <f t="shared" ca="1" si="10"/>
        <v>406.36865368332468</v>
      </c>
      <c r="H42" s="27">
        <f t="shared" ca="1" si="11"/>
        <v>21131.169991532883</v>
      </c>
      <c r="I42" s="13"/>
      <c r="J42" s="13"/>
      <c r="N42" s="25">
        <v>9129331.4425529949</v>
      </c>
      <c r="O42" t="str">
        <f t="shared" si="25"/>
        <v>R 7-11</v>
      </c>
      <c r="P42">
        <f t="shared" si="2"/>
        <v>1</v>
      </c>
    </row>
    <row r="43" spans="1:16" x14ac:dyDescent="0.25">
      <c r="A43" s="11">
        <f t="shared" ca="1" si="26"/>
        <v>7205496.7564534638</v>
      </c>
      <c r="B43" s="12">
        <f t="shared" si="23"/>
        <v>41789</v>
      </c>
      <c r="C43" s="11">
        <f t="shared" ca="1" si="27"/>
        <v>32752.257983879383</v>
      </c>
      <c r="D43" s="15">
        <f t="shared" ca="1" si="14"/>
        <v>0.16</v>
      </c>
      <c r="E43" s="13"/>
      <c r="F43" s="11">
        <f t="shared" ca="1" si="9"/>
        <v>4517.5528253626726</v>
      </c>
      <c r="G43" s="27">
        <f t="shared" ca="1" si="10"/>
        <v>993.86162157978799</v>
      </c>
      <c r="H43" s="27">
        <f t="shared" ca="1" si="11"/>
        <v>51680.804322148979</v>
      </c>
      <c r="I43" s="13"/>
      <c r="J43" s="13"/>
      <c r="N43" s="25">
        <v>11808949.499586161</v>
      </c>
      <c r="O43" t="str">
        <f t="shared" si="25"/>
        <v>R 11-15</v>
      </c>
      <c r="P43">
        <f t="shared" si="2"/>
        <v>1</v>
      </c>
    </row>
    <row r="44" spans="1:16" x14ac:dyDescent="0.25">
      <c r="A44" s="11">
        <f t="shared" ca="1" si="26"/>
        <v>7709881.5294052074</v>
      </c>
      <c r="B44" s="12">
        <f t="shared" si="23"/>
        <v>41796</v>
      </c>
      <c r="C44" s="11">
        <f t="shared" ca="1" si="27"/>
        <v>35044.916042750941</v>
      </c>
      <c r="D44" s="15">
        <f t="shared" ca="1" si="14"/>
        <v>7.0000000000000007E-2</v>
      </c>
      <c r="E44" s="13"/>
      <c r="F44" s="11">
        <f t="shared" ca="1" si="9"/>
        <v>2292.6580588715588</v>
      </c>
      <c r="G44" s="27">
        <f t="shared" ca="1" si="10"/>
        <v>504.38477295174295</v>
      </c>
      <c r="H44" s="27">
        <f t="shared" ca="1" si="11"/>
        <v>26228.008193490634</v>
      </c>
      <c r="I44" s="13"/>
      <c r="J44" s="13"/>
      <c r="N44" s="25">
        <v>83772395.608366624</v>
      </c>
      <c r="O44" t="str">
        <f t="shared" si="25"/>
        <v>R 49-0</v>
      </c>
      <c r="P44">
        <f t="shared" si="2"/>
        <v>1</v>
      </c>
    </row>
    <row r="45" spans="1:16" x14ac:dyDescent="0.25">
      <c r="A45" s="11">
        <f t="shared" ca="1" si="26"/>
        <v>8943462.5741100386</v>
      </c>
      <c r="B45" s="12">
        <f t="shared" si="23"/>
        <v>41803</v>
      </c>
      <c r="C45" s="11">
        <f t="shared" ca="1" si="27"/>
        <v>40652.102609591086</v>
      </c>
      <c r="D45" s="15">
        <f t="shared" ca="1" si="14"/>
        <v>0.16</v>
      </c>
      <c r="E45" s="13"/>
      <c r="F45" s="11">
        <f t="shared" ca="1" si="9"/>
        <v>5607.1865668401442</v>
      </c>
      <c r="G45" s="27">
        <f t="shared" ca="1" si="10"/>
        <v>1233.5810447048318</v>
      </c>
      <c r="H45" s="27">
        <f t="shared" ca="1" si="11"/>
        <v>64146.214324651257</v>
      </c>
      <c r="I45" s="13"/>
      <c r="J45" s="13"/>
      <c r="N45" s="25">
        <v>18371389.242487185</v>
      </c>
      <c r="O45" t="str">
        <f t="shared" si="25"/>
        <v>R 15-18</v>
      </c>
      <c r="P45">
        <f t="shared" si="2"/>
        <v>1</v>
      </c>
    </row>
    <row r="46" spans="1:16" x14ac:dyDescent="0.25">
      <c r="A46" s="11">
        <f t="shared" ca="1" si="26"/>
        <v>8138550.9424401354</v>
      </c>
      <c r="B46" s="12">
        <f t="shared" si="23"/>
        <v>41810</v>
      </c>
      <c r="C46" s="11">
        <f t="shared" ca="1" si="27"/>
        <v>36993.41337472789</v>
      </c>
      <c r="D46" s="15">
        <f t="shared" ca="1" si="14"/>
        <v>-0.09</v>
      </c>
      <c r="E46" s="14">
        <f ca="1">+C46/C42-1</f>
        <v>0.31021071999999994</v>
      </c>
      <c r="F46" s="11">
        <f t="shared" ca="1" si="9"/>
        <v>-3658.6892348631955</v>
      </c>
      <c r="G46" s="27">
        <f t="shared" ca="1" si="10"/>
        <v>-804.91163166990304</v>
      </c>
      <c r="H46" s="27">
        <f t="shared" ca="1" si="11"/>
        <v>-41855.404846834957</v>
      </c>
      <c r="I46" s="13"/>
      <c r="J46" s="13"/>
      <c r="N46" s="25">
        <v>34670984.567414664</v>
      </c>
      <c r="O46" t="str">
        <f t="shared" si="25"/>
        <v>R 33-37</v>
      </c>
      <c r="P46">
        <f t="shared" si="2"/>
        <v>1</v>
      </c>
    </row>
    <row r="47" spans="1:16" x14ac:dyDescent="0.25">
      <c r="A47" s="11">
        <f t="shared" ca="1" si="26"/>
        <v>7650237.8858937267</v>
      </c>
      <c r="B47" s="12">
        <f t="shared" si="23"/>
        <v>41817</v>
      </c>
      <c r="C47" s="11">
        <f t="shared" ca="1" si="27"/>
        <v>34773.808572244212</v>
      </c>
      <c r="D47" s="15">
        <f t="shared" ca="1" si="14"/>
        <v>-0.06</v>
      </c>
      <c r="E47" s="13"/>
      <c r="F47" s="11">
        <f t="shared" ca="1" si="9"/>
        <v>-2219.6048024836782</v>
      </c>
      <c r="G47" s="27">
        <f t="shared" ca="1" si="10"/>
        <v>-488.3130565464092</v>
      </c>
      <c r="H47" s="27">
        <f t="shared" ca="1" si="11"/>
        <v>-25392.278940413278</v>
      </c>
      <c r="I47" s="13"/>
      <c r="J47" s="13"/>
      <c r="N47" s="25">
        <v>65987287.630283311</v>
      </c>
      <c r="O47" t="str">
        <f t="shared" si="25"/>
        <v>R 49-0</v>
      </c>
      <c r="P47">
        <f t="shared" si="2"/>
        <v>1</v>
      </c>
    </row>
    <row r="48" spans="1:16" x14ac:dyDescent="0.25">
      <c r="A48" s="11">
        <f t="shared" ca="1" si="26"/>
        <v>8491764.0533420369</v>
      </c>
      <c r="B48" s="12">
        <f t="shared" si="23"/>
        <v>41824</v>
      </c>
      <c r="C48" s="11">
        <f t="shared" ca="1" si="27"/>
        <v>38598.927515191077</v>
      </c>
      <c r="D48" s="15">
        <f t="shared" ca="1" si="14"/>
        <v>0.11</v>
      </c>
      <c r="E48" s="13"/>
      <c r="F48" s="11">
        <f t="shared" ca="1" si="9"/>
        <v>3825.118942946865</v>
      </c>
      <c r="G48" s="27">
        <f t="shared" ca="1" si="10"/>
        <v>841.52616744831028</v>
      </c>
      <c r="H48" s="27">
        <f t="shared" ca="1" si="11"/>
        <v>43759.360707312131</v>
      </c>
      <c r="I48" s="13"/>
      <c r="J48" s="13"/>
      <c r="N48" s="25">
        <v>49112505.933450073</v>
      </c>
      <c r="O48" t="str">
        <f t="shared" si="25"/>
        <v>R 49-0</v>
      </c>
      <c r="P48">
        <f t="shared" si="2"/>
        <v>1</v>
      </c>
    </row>
    <row r="49" spans="1:16" x14ac:dyDescent="0.25">
      <c r="A49" s="11">
        <f t="shared" ca="1" si="26"/>
        <v>8237011.1317417752</v>
      </c>
      <c r="B49" s="12">
        <f t="shared" si="23"/>
        <v>41831</v>
      </c>
      <c r="C49" s="11">
        <f t="shared" ca="1" si="27"/>
        <v>37440.95968973534</v>
      </c>
      <c r="D49" s="15">
        <f t="shared" ca="1" si="14"/>
        <v>-0.03</v>
      </c>
      <c r="E49" s="13"/>
      <c r="F49" s="11">
        <f t="shared" ca="1" si="9"/>
        <v>-1157.9678254557366</v>
      </c>
      <c r="G49" s="27">
        <f t="shared" ca="1" si="10"/>
        <v>-254.75292160026206</v>
      </c>
      <c r="H49" s="27">
        <f t="shared" ca="1" si="11"/>
        <v>-13247.151923213627</v>
      </c>
      <c r="I49" s="13"/>
      <c r="J49" s="13"/>
      <c r="N49" s="25">
        <v>9288580.5950143449</v>
      </c>
      <c r="O49" t="str">
        <f t="shared" si="25"/>
        <v>R 7-11</v>
      </c>
      <c r="P49">
        <f t="shared" si="2"/>
        <v>1</v>
      </c>
    </row>
    <row r="50" spans="1:16" x14ac:dyDescent="0.25">
      <c r="A50" s="11">
        <f t="shared" ca="1" si="26"/>
        <v>7989900.7977895215</v>
      </c>
      <c r="B50" s="12">
        <f t="shared" si="23"/>
        <v>41838</v>
      </c>
      <c r="C50" s="11">
        <f t="shared" ca="1" si="27"/>
        <v>36317.730899043279</v>
      </c>
      <c r="D50" s="15">
        <f t="shared" ca="1" si="14"/>
        <v>-0.03</v>
      </c>
      <c r="E50" s="14">
        <f ca="1">+C50/C46-1</f>
        <v>-1.8264940000000229E-2</v>
      </c>
      <c r="F50" s="11">
        <f t="shared" ca="1" si="9"/>
        <v>-1123.228790692061</v>
      </c>
      <c r="G50" s="27">
        <f t="shared" ca="1" si="10"/>
        <v>-247.11033395225343</v>
      </c>
      <c r="H50" s="27">
        <f t="shared" ca="1" si="11"/>
        <v>-12849.737365517178</v>
      </c>
      <c r="I50" s="13"/>
      <c r="J50" s="13"/>
      <c r="N50" s="25">
        <v>41309283.630456567</v>
      </c>
      <c r="O50" t="str">
        <f t="shared" si="25"/>
        <v>R 37-41</v>
      </c>
      <c r="P50">
        <f t="shared" si="2"/>
        <v>1</v>
      </c>
    </row>
    <row r="51" spans="1:16" x14ac:dyDescent="0.25">
      <c r="A51" s="11">
        <f t="shared" ca="1" si="26"/>
        <v>7590405.7579000443</v>
      </c>
      <c r="B51" s="12">
        <f t="shared" si="23"/>
        <v>41845</v>
      </c>
      <c r="C51" s="11">
        <f t="shared" ca="1" si="27"/>
        <v>34501.84435409111</v>
      </c>
      <c r="D51" s="15">
        <f t="shared" ca="1" si="14"/>
        <v>-0.05</v>
      </c>
      <c r="E51" s="13"/>
      <c r="F51" s="11">
        <f t="shared" ca="1" si="9"/>
        <v>-1815.8865449521691</v>
      </c>
      <c r="G51" s="27">
        <f t="shared" ca="1" si="10"/>
        <v>-399.4950398894772</v>
      </c>
      <c r="H51" s="27">
        <f t="shared" ca="1" si="11"/>
        <v>-20773.742074252816</v>
      </c>
      <c r="I51" s="13"/>
      <c r="J51" s="13"/>
      <c r="N51" s="25">
        <v>8442297.4167014491</v>
      </c>
      <c r="O51" t="str">
        <f t="shared" si="25"/>
        <v>R 7-11</v>
      </c>
      <c r="P51">
        <f t="shared" si="2"/>
        <v>1</v>
      </c>
    </row>
    <row r="52" spans="1:16" x14ac:dyDescent="0.25">
      <c r="A52" s="11">
        <f t="shared" ca="1" si="26"/>
        <v>7134981.4124260414</v>
      </c>
      <c r="B52" s="12">
        <f t="shared" si="23"/>
        <v>41852</v>
      </c>
      <c r="C52" s="11">
        <f t="shared" ca="1" si="27"/>
        <v>32431.733692845643</v>
      </c>
      <c r="D52" s="15">
        <f t="shared" ca="1" si="14"/>
        <v>-0.06</v>
      </c>
      <c r="E52" s="13"/>
      <c r="F52" s="11">
        <f t="shared" ca="1" si="9"/>
        <v>-2070.1106612454678</v>
      </c>
      <c r="G52" s="27">
        <f t="shared" ca="1" si="10"/>
        <v>-455.42434547400291</v>
      </c>
      <c r="H52" s="27">
        <f t="shared" ca="1" si="11"/>
        <v>-23682.065964648151</v>
      </c>
      <c r="I52" s="13"/>
      <c r="J52" s="13"/>
      <c r="N52" s="25">
        <v>6289892.2590474673</v>
      </c>
      <c r="O52" t="str">
        <f t="shared" si="25"/>
        <v>R 3-7</v>
      </c>
      <c r="P52">
        <f t="shared" si="2"/>
        <v>1</v>
      </c>
    </row>
    <row r="53" spans="1:16" x14ac:dyDescent="0.25">
      <c r="A53" s="11">
        <f t="shared" ca="1" si="26"/>
        <v>7991179.1819171663</v>
      </c>
      <c r="B53" s="12">
        <f t="shared" si="23"/>
        <v>41859</v>
      </c>
      <c r="C53" s="11">
        <f t="shared" ca="1" si="27"/>
        <v>36323.541735987121</v>
      </c>
      <c r="D53" s="15">
        <f t="shared" ca="1" si="14"/>
        <v>0.12</v>
      </c>
      <c r="E53" s="13"/>
      <c r="F53" s="11">
        <f t="shared" ca="1" si="9"/>
        <v>3891.8080431414783</v>
      </c>
      <c r="G53" s="27">
        <f t="shared" ca="1" si="10"/>
        <v>856.1977694911252</v>
      </c>
      <c r="H53" s="27">
        <f t="shared" ca="1" si="11"/>
        <v>44522.284013538512</v>
      </c>
      <c r="I53" s="13"/>
      <c r="J53" s="13"/>
      <c r="N53" s="25">
        <v>21825475.03770322</v>
      </c>
      <c r="O53" t="str">
        <f t="shared" si="25"/>
        <v>R 18-22</v>
      </c>
      <c r="P53">
        <f t="shared" si="2"/>
        <v>1</v>
      </c>
    </row>
    <row r="54" spans="1:16" x14ac:dyDescent="0.25">
      <c r="A54" s="11">
        <f t="shared" ca="1" si="26"/>
        <v>7831355.5982788224</v>
      </c>
      <c r="B54" s="12">
        <f t="shared" si="23"/>
        <v>41866</v>
      </c>
      <c r="C54" s="11">
        <f t="shared" ca="1" si="27"/>
        <v>35597.070901267376</v>
      </c>
      <c r="D54" s="15">
        <f t="shared" ca="1" si="14"/>
        <v>-0.02</v>
      </c>
      <c r="E54" s="14">
        <f ca="1">+C54/C50-1</f>
        <v>-1.9843200000000172E-2</v>
      </c>
      <c r="F54" s="11">
        <f t="shared" ca="1" si="9"/>
        <v>-726.47083471974474</v>
      </c>
      <c r="G54" s="27">
        <f t="shared" ca="1" si="10"/>
        <v>-159.82358363834385</v>
      </c>
      <c r="H54" s="27">
        <f t="shared" ca="1" si="11"/>
        <v>-8310.8263491938797</v>
      </c>
      <c r="I54" s="13"/>
      <c r="J54" s="13"/>
      <c r="N54" s="25">
        <v>24128535.111524243</v>
      </c>
      <c r="O54" t="str">
        <f t="shared" si="25"/>
        <v>R 22-26</v>
      </c>
      <c r="P54">
        <f t="shared" si="2"/>
        <v>1</v>
      </c>
    </row>
    <row r="55" spans="1:16" x14ac:dyDescent="0.25">
      <c r="A55" s="11">
        <f t="shared" ref="A55:A74" ca="1" si="28">C55*220</f>
        <v>7283160.7063993048</v>
      </c>
      <c r="B55" s="12">
        <f t="shared" si="23"/>
        <v>41873</v>
      </c>
      <c r="C55" s="11">
        <f t="shared" ref="C55:C74" ca="1" si="29">C54*(1+D55)</f>
        <v>33105.27593817866</v>
      </c>
      <c r="D55" s="15">
        <f t="shared" ca="1" si="14"/>
        <v>-7.0000000000000007E-2</v>
      </c>
      <c r="E55" s="13"/>
      <c r="F55" s="11">
        <f t="shared" ca="1" si="9"/>
        <v>-2491.794963088716</v>
      </c>
      <c r="G55" s="27">
        <f t="shared" ca="1" si="10"/>
        <v>-548.19489187951751</v>
      </c>
      <c r="H55" s="27">
        <f t="shared" ca="1" si="11"/>
        <v>-28506.13437773491</v>
      </c>
      <c r="I55" s="13"/>
      <c r="J55" s="13"/>
      <c r="N55" s="25">
        <v>23180679.483205795</v>
      </c>
      <c r="O55" t="str">
        <f t="shared" si="25"/>
        <v>R 22-26</v>
      </c>
      <c r="P55">
        <f t="shared" si="2"/>
        <v>1</v>
      </c>
    </row>
    <row r="56" spans="1:16" x14ac:dyDescent="0.25">
      <c r="A56" s="11">
        <f t="shared" ca="1" si="28"/>
        <v>7574487.1346552772</v>
      </c>
      <c r="B56" s="12">
        <f t="shared" si="23"/>
        <v>41880</v>
      </c>
      <c r="C56" s="11">
        <f t="shared" ca="1" si="29"/>
        <v>34429.486975705804</v>
      </c>
      <c r="D56" s="15">
        <f t="shared" ca="1" si="14"/>
        <v>0.04</v>
      </c>
      <c r="E56" s="13"/>
      <c r="F56" s="11">
        <f t="shared" ca="1" si="9"/>
        <v>1324.2110375271441</v>
      </c>
      <c r="G56" s="27">
        <f t="shared" ca="1" si="10"/>
        <v>291.32642825597168</v>
      </c>
      <c r="H56" s="27">
        <f t="shared" ca="1" si="11"/>
        <v>15148.974269310527</v>
      </c>
      <c r="I56" s="13"/>
      <c r="J56" s="13"/>
      <c r="N56" s="25">
        <v>19960580.270078946</v>
      </c>
      <c r="O56" t="str">
        <f t="shared" si="25"/>
        <v>R 18-22</v>
      </c>
      <c r="P56">
        <f t="shared" si="2"/>
        <v>1</v>
      </c>
    </row>
    <row r="57" spans="1:16" x14ac:dyDescent="0.25">
      <c r="A57" s="11">
        <f t="shared" ca="1" si="28"/>
        <v>8559170.4621604625</v>
      </c>
      <c r="B57" s="12">
        <f t="shared" si="23"/>
        <v>41887</v>
      </c>
      <c r="C57" s="11">
        <f t="shared" ca="1" si="29"/>
        <v>38905.320282547553</v>
      </c>
      <c r="D57" s="15">
        <f t="shared" ca="1" si="14"/>
        <v>0.13</v>
      </c>
      <c r="E57" s="13"/>
      <c r="F57" s="11">
        <f t="shared" ca="1" si="9"/>
        <v>4475.8333068417487</v>
      </c>
      <c r="G57" s="27">
        <f t="shared" ca="1" si="10"/>
        <v>984.68332750518471</v>
      </c>
      <c r="H57" s="27">
        <f t="shared" ca="1" si="11"/>
        <v>51203.533030269602</v>
      </c>
      <c r="I57" s="13"/>
      <c r="J57" s="13"/>
      <c r="N57" s="25">
        <v>8664100.1070061419</v>
      </c>
      <c r="O57" t="str">
        <f t="shared" si="25"/>
        <v>R 7-11</v>
      </c>
      <c r="P57">
        <f t="shared" si="2"/>
        <v>1</v>
      </c>
    </row>
    <row r="58" spans="1:16" x14ac:dyDescent="0.25">
      <c r="A58" s="11">
        <f t="shared" ca="1" si="28"/>
        <v>9671862.6222413201</v>
      </c>
      <c r="B58" s="12">
        <f t="shared" si="23"/>
        <v>41894</v>
      </c>
      <c r="C58" s="11">
        <f t="shared" ca="1" si="29"/>
        <v>43963.011919278732</v>
      </c>
      <c r="D58" s="15">
        <f t="shared" ca="1" si="14"/>
        <v>0.13</v>
      </c>
      <c r="E58" s="14">
        <f t="shared" ref="E58" ca="1" si="30">+C58/C54-1</f>
        <v>0.23501767999999967</v>
      </c>
      <c r="F58" s="11">
        <f t="shared" ca="1" si="9"/>
        <v>5057.6916367311787</v>
      </c>
      <c r="G58" s="27">
        <f t="shared" ca="1" si="10"/>
        <v>1112.6921600808594</v>
      </c>
      <c r="H58" s="27">
        <f t="shared" ca="1" si="11"/>
        <v>57859.992324204686</v>
      </c>
      <c r="I58" s="13"/>
      <c r="J58" s="13"/>
      <c r="N58" s="25">
        <v>39639906.413993165</v>
      </c>
      <c r="O58" t="str">
        <f t="shared" si="25"/>
        <v>R 37-41</v>
      </c>
      <c r="P58">
        <f t="shared" si="2"/>
        <v>1</v>
      </c>
    </row>
    <row r="59" spans="1:16" x14ac:dyDescent="0.25">
      <c r="A59" s="11">
        <f t="shared" ca="1" si="28"/>
        <v>11412797.894244758</v>
      </c>
      <c r="B59" s="12">
        <f t="shared" si="23"/>
        <v>41901</v>
      </c>
      <c r="C59" s="11">
        <f t="shared" ca="1" si="29"/>
        <v>51876.354064748899</v>
      </c>
      <c r="D59" s="15">
        <f t="shared" ca="1" si="14"/>
        <v>0.18</v>
      </c>
      <c r="E59" s="13"/>
      <c r="F59" s="11">
        <f t="shared" ca="1" si="9"/>
        <v>7913.3421454701675</v>
      </c>
      <c r="G59" s="27">
        <f t="shared" ca="1" si="10"/>
        <v>1740.9352720034369</v>
      </c>
      <c r="H59" s="27">
        <f t="shared" ca="1" si="11"/>
        <v>90528.634144178723</v>
      </c>
      <c r="I59" s="13"/>
      <c r="J59" s="13"/>
      <c r="N59" s="25">
        <v>15888470.234369745</v>
      </c>
      <c r="O59" t="str">
        <f t="shared" si="25"/>
        <v>R 15-18</v>
      </c>
      <c r="P59">
        <f t="shared" si="2"/>
        <v>1</v>
      </c>
    </row>
    <row r="60" spans="1:16" x14ac:dyDescent="0.25">
      <c r="A60" s="11">
        <f t="shared" ca="1" si="28"/>
        <v>10842157.999532521</v>
      </c>
      <c r="B60" s="12">
        <f t="shared" si="23"/>
        <v>41908</v>
      </c>
      <c r="C60" s="11">
        <f t="shared" ca="1" si="29"/>
        <v>49282.536361511455</v>
      </c>
      <c r="D60" s="15">
        <f t="shared" ca="1" si="14"/>
        <v>-0.05</v>
      </c>
      <c r="E60" s="13"/>
      <c r="F60" s="11">
        <f t="shared" ca="1" si="9"/>
        <v>-2593.8177032374442</v>
      </c>
      <c r="G60" s="27">
        <f t="shared" ca="1" si="10"/>
        <v>-570.63989471223772</v>
      </c>
      <c r="H60" s="27">
        <f t="shared" ca="1" si="11"/>
        <v>-29673.274525036362</v>
      </c>
      <c r="I60" s="13"/>
      <c r="J60" s="13"/>
      <c r="N60" s="25">
        <v>6319793.3835126711</v>
      </c>
      <c r="O60" t="str">
        <f t="shared" si="25"/>
        <v>R 3-7</v>
      </c>
      <c r="P60">
        <f t="shared" si="2"/>
        <v>1</v>
      </c>
    </row>
    <row r="61" spans="1:16" x14ac:dyDescent="0.25">
      <c r="A61" s="11">
        <f t="shared" ca="1" si="28"/>
        <v>11492687.479504472</v>
      </c>
      <c r="B61" s="12">
        <f t="shared" si="23"/>
        <v>41915</v>
      </c>
      <c r="C61" s="11">
        <f t="shared" ca="1" si="29"/>
        <v>52239.488543202147</v>
      </c>
      <c r="D61" s="15">
        <f t="shared" ca="1" si="14"/>
        <v>0.06</v>
      </c>
      <c r="E61" s="13"/>
      <c r="F61" s="11">
        <f t="shared" ca="1" si="9"/>
        <v>2956.9521816906927</v>
      </c>
      <c r="G61" s="27">
        <f t="shared" ca="1" si="10"/>
        <v>650.52947997195236</v>
      </c>
      <c r="H61" s="27">
        <f t="shared" ca="1" si="11"/>
        <v>33827.532958541524</v>
      </c>
      <c r="I61" s="13"/>
      <c r="J61" s="13"/>
      <c r="N61" s="25">
        <v>13688202.875750341</v>
      </c>
      <c r="O61" t="str">
        <f t="shared" si="25"/>
        <v>R 11-15</v>
      </c>
      <c r="P61">
        <f t="shared" si="2"/>
        <v>1</v>
      </c>
    </row>
    <row r="62" spans="1:16" x14ac:dyDescent="0.25">
      <c r="A62" s="11">
        <f t="shared" ca="1" si="28"/>
        <v>13561371.225815276</v>
      </c>
      <c r="B62" s="12">
        <f t="shared" si="23"/>
        <v>41922</v>
      </c>
      <c r="C62" s="11">
        <f t="shared" ca="1" si="29"/>
        <v>61642.596480978529</v>
      </c>
      <c r="D62" s="15">
        <f t="shared" ca="1" si="14"/>
        <v>0.18</v>
      </c>
      <c r="E62" s="14">
        <f t="shared" ref="E62" ca="1" si="31">+C62/C58-1</f>
        <v>0.40214679999999992</v>
      </c>
      <c r="F62" s="11">
        <f t="shared" ca="1" si="9"/>
        <v>9403.1079377763817</v>
      </c>
      <c r="G62" s="27">
        <f t="shared" ca="1" si="10"/>
        <v>2068.6837463108041</v>
      </c>
      <c r="H62" s="27">
        <f t="shared" ca="1" si="11"/>
        <v>107571.5548081618</v>
      </c>
      <c r="I62" s="13"/>
      <c r="J62" s="13"/>
      <c r="N62" s="25">
        <v>15960839.46872499</v>
      </c>
      <c r="O62" t="str">
        <f t="shared" si="25"/>
        <v>R 15-18</v>
      </c>
      <c r="P62">
        <f t="shared" si="2"/>
        <v>1</v>
      </c>
    </row>
    <row r="63" spans="1:16" x14ac:dyDescent="0.25">
      <c r="A63" s="11">
        <f t="shared" ca="1" si="28"/>
        <v>16138031.758720178</v>
      </c>
      <c r="B63" s="12">
        <f t="shared" si="23"/>
        <v>41929</v>
      </c>
      <c r="C63" s="11">
        <f t="shared" ca="1" si="29"/>
        <v>73354.68981236445</v>
      </c>
      <c r="D63" s="15">
        <f t="shared" ca="1" si="14"/>
        <v>0.19</v>
      </c>
      <c r="E63" s="13"/>
      <c r="F63" s="11">
        <f t="shared" ca="1" si="9"/>
        <v>11712.09333138592</v>
      </c>
      <c r="G63" s="27">
        <f t="shared" ca="1" si="10"/>
        <v>2576.6605329049025</v>
      </c>
      <c r="H63" s="27">
        <f t="shared" ca="1" si="11"/>
        <v>133986.34771105493</v>
      </c>
      <c r="I63" s="13"/>
      <c r="J63" s="13"/>
      <c r="N63" s="25">
        <v>16156721.211159607</v>
      </c>
      <c r="O63" t="str">
        <f t="shared" si="25"/>
        <v>R 15-18</v>
      </c>
      <c r="P63">
        <f t="shared" si="2"/>
        <v>1</v>
      </c>
    </row>
    <row r="64" spans="1:16" x14ac:dyDescent="0.25">
      <c r="A64" s="11">
        <f t="shared" ca="1" si="28"/>
        <v>18881497.157702606</v>
      </c>
      <c r="B64" s="12">
        <f t="shared" si="23"/>
        <v>41936</v>
      </c>
      <c r="C64" s="11">
        <f t="shared" ca="1" si="29"/>
        <v>85824.987080466395</v>
      </c>
      <c r="D64" s="15">
        <f t="shared" ca="1" si="14"/>
        <v>0.17</v>
      </c>
      <c r="E64" s="13"/>
      <c r="F64" s="11">
        <f t="shared" ca="1" si="9"/>
        <v>12470.297268101946</v>
      </c>
      <c r="G64" s="27">
        <f t="shared" ca="1" si="10"/>
        <v>2743.4653989824278</v>
      </c>
      <c r="H64" s="27">
        <f t="shared" ca="1" si="11"/>
        <v>142660.20074708626</v>
      </c>
      <c r="I64" s="13"/>
      <c r="J64" s="13"/>
      <c r="N64" s="25">
        <v>25500022.28546625</v>
      </c>
      <c r="O64" t="str">
        <f t="shared" si="25"/>
        <v>R 22-26</v>
      </c>
      <c r="P64">
        <f t="shared" si="2"/>
        <v>1</v>
      </c>
    </row>
    <row r="65" spans="1:16" x14ac:dyDescent="0.25">
      <c r="A65" s="11">
        <f t="shared" ca="1" si="28"/>
        <v>19636757.044010714</v>
      </c>
      <c r="B65" s="12">
        <f t="shared" si="23"/>
        <v>41943</v>
      </c>
      <c r="C65" s="11">
        <f t="shared" ca="1" si="29"/>
        <v>89257.986563685059</v>
      </c>
      <c r="D65" s="15">
        <f t="shared" ca="1" si="14"/>
        <v>0.04</v>
      </c>
      <c r="E65" s="13"/>
      <c r="F65" s="11">
        <f t="shared" ca="1" si="9"/>
        <v>3432.999483218664</v>
      </c>
      <c r="G65" s="27">
        <f t="shared" ca="1" si="10"/>
        <v>755.25988630810605</v>
      </c>
      <c r="H65" s="27">
        <f t="shared" ca="1" si="11"/>
        <v>39273.514088021511</v>
      </c>
      <c r="I65" s="13"/>
      <c r="J65" s="13"/>
      <c r="N65" s="25">
        <v>4164287.4715708187</v>
      </c>
      <c r="O65" t="str">
        <f t="shared" si="25"/>
        <v>R 3-7</v>
      </c>
      <c r="P65">
        <f t="shared" si="2"/>
        <v>1</v>
      </c>
    </row>
    <row r="66" spans="1:16" x14ac:dyDescent="0.25">
      <c r="A66" s="11">
        <f t="shared" ca="1" si="28"/>
        <v>19047654.332690392</v>
      </c>
      <c r="B66" s="12">
        <f t="shared" si="23"/>
        <v>41950</v>
      </c>
      <c r="C66" s="11">
        <f t="shared" ca="1" si="29"/>
        <v>86580.246966774503</v>
      </c>
      <c r="D66" s="15">
        <f t="shared" ca="1" si="14"/>
        <v>-0.03</v>
      </c>
      <c r="E66" s="14">
        <f t="shared" ref="E66" ca="1" si="32">+C66/C62-1</f>
        <v>0.4045522399999999</v>
      </c>
      <c r="F66" s="11">
        <f t="shared" ca="1" si="9"/>
        <v>-2677.7395969105564</v>
      </c>
      <c r="G66" s="27">
        <f t="shared" ca="1" si="10"/>
        <v>-589.10271132032244</v>
      </c>
      <c r="H66" s="27">
        <f t="shared" ca="1" si="11"/>
        <v>-30633.340988656768</v>
      </c>
      <c r="I66" s="13"/>
      <c r="J66" s="13"/>
      <c r="N66" s="25">
        <v>11579988.911959644</v>
      </c>
      <c r="O66" t="str">
        <f t="shared" ref="O66:O97" si="33">VLOOKUP(N66,$R$2:$T$15,3,TRUE)</f>
        <v>R 11-15</v>
      </c>
      <c r="P66">
        <f t="shared" si="2"/>
        <v>1</v>
      </c>
    </row>
    <row r="67" spans="1:16" x14ac:dyDescent="0.25">
      <c r="A67" s="11">
        <f t="shared" ca="1" si="28"/>
        <v>17523841.986075163</v>
      </c>
      <c r="B67" s="12">
        <f t="shared" si="23"/>
        <v>41957</v>
      </c>
      <c r="C67" s="11">
        <f t="shared" ca="1" si="29"/>
        <v>79653.827209432551</v>
      </c>
      <c r="D67" s="15">
        <f t="shared" ca="1" si="14"/>
        <v>-0.08</v>
      </c>
      <c r="E67" s="13"/>
      <c r="F67" s="11">
        <f t="shared" ca="1" si="9"/>
        <v>-6926.4197573419515</v>
      </c>
      <c r="G67" s="27">
        <f t="shared" ca="1" si="10"/>
        <v>-1523.8123466152294</v>
      </c>
      <c r="H67" s="27">
        <f t="shared" ca="1" si="11"/>
        <v>-79238.24202399193</v>
      </c>
      <c r="I67" s="13"/>
      <c r="J67" s="13"/>
      <c r="N67" s="25">
        <v>30512888.519917443</v>
      </c>
      <c r="O67" t="str">
        <f t="shared" si="33"/>
        <v>R 30-33</v>
      </c>
      <c r="P67">
        <f t="shared" ref="P67:P130" si="34">1*(N67&lt;&gt;0)</f>
        <v>1</v>
      </c>
    </row>
    <row r="68" spans="1:16" x14ac:dyDescent="0.25">
      <c r="A68" s="11">
        <f t="shared" ca="1" si="28"/>
        <v>17173365.146353658</v>
      </c>
      <c r="B68" s="12">
        <f t="shared" si="23"/>
        <v>41964</v>
      </c>
      <c r="C68" s="11">
        <f t="shared" ca="1" si="29"/>
        <v>78060.750665243904</v>
      </c>
      <c r="D68" s="15">
        <f t="shared" ca="1" si="14"/>
        <v>-0.02</v>
      </c>
      <c r="E68" s="13"/>
      <c r="F68" s="11">
        <f t="shared" ca="1" si="9"/>
        <v>-1593.0765441886469</v>
      </c>
      <c r="G68" s="27">
        <f t="shared" ca="1" si="10"/>
        <v>-350.47683972150236</v>
      </c>
      <c r="H68" s="27">
        <f t="shared" ca="1" si="11"/>
        <v>-18224.795665518122</v>
      </c>
      <c r="I68" s="13"/>
      <c r="J68" s="13"/>
      <c r="N68" s="25">
        <v>9307019.516971929</v>
      </c>
      <c r="O68" t="str">
        <f t="shared" si="33"/>
        <v>R 7-11</v>
      </c>
      <c r="P68">
        <f t="shared" si="34"/>
        <v>1</v>
      </c>
    </row>
    <row r="69" spans="1:16" x14ac:dyDescent="0.25">
      <c r="A69" s="11">
        <f t="shared" ca="1" si="28"/>
        <v>19921103.569770243</v>
      </c>
      <c r="B69" s="12">
        <f t="shared" si="23"/>
        <v>41971</v>
      </c>
      <c r="C69" s="11">
        <f t="shared" ca="1" si="29"/>
        <v>90550.470771682929</v>
      </c>
      <c r="D69" s="15">
        <f t="shared" ca="1" si="14"/>
        <v>0.16</v>
      </c>
      <c r="E69" s="13"/>
      <c r="F69" s="11">
        <f t="shared" ca="1" si="9"/>
        <v>12489.720106439025</v>
      </c>
      <c r="G69" s="27">
        <f t="shared" ca="1" si="10"/>
        <v>2747.7384234165856</v>
      </c>
      <c r="H69" s="27">
        <f t="shared" ca="1" si="11"/>
        <v>142882.39801766246</v>
      </c>
      <c r="I69" s="13"/>
      <c r="J69" s="13"/>
      <c r="N69" s="25">
        <v>14796901.399833988</v>
      </c>
      <c r="O69" t="str">
        <f t="shared" si="33"/>
        <v>R 11-15</v>
      </c>
      <c r="P69">
        <f t="shared" si="34"/>
        <v>1</v>
      </c>
    </row>
    <row r="70" spans="1:16" x14ac:dyDescent="0.25">
      <c r="A70" s="11">
        <f t="shared" ca="1" si="28"/>
        <v>20120314.605467945</v>
      </c>
      <c r="B70" s="12">
        <f t="shared" si="23"/>
        <v>41978</v>
      </c>
      <c r="C70" s="11">
        <f t="shared" ca="1" si="29"/>
        <v>91455.975479399756</v>
      </c>
      <c r="D70" s="15">
        <f t="shared" ca="1" si="14"/>
        <v>0.01</v>
      </c>
      <c r="E70" s="14">
        <f t="shared" ref="E70" ca="1" si="35">+C70/C66-1</f>
        <v>5.6314560000000125E-2</v>
      </c>
      <c r="F70" s="11">
        <f t="shared" ca="1" si="9"/>
        <v>905.5047077168274</v>
      </c>
      <c r="G70" s="27">
        <f t="shared" ca="1" si="10"/>
        <v>199.21103569770202</v>
      </c>
      <c r="H70" s="27">
        <f t="shared" ca="1" si="11"/>
        <v>10358.973856280505</v>
      </c>
      <c r="I70" s="13"/>
      <c r="J70" s="13"/>
      <c r="N70" s="25">
        <v>14506804.526864696</v>
      </c>
      <c r="O70" t="str">
        <f t="shared" si="33"/>
        <v>R 11-15</v>
      </c>
      <c r="P70">
        <f t="shared" si="34"/>
        <v>1</v>
      </c>
    </row>
    <row r="71" spans="1:16" x14ac:dyDescent="0.25">
      <c r="A71" s="11">
        <f t="shared" ca="1" si="28"/>
        <v>19717908.313358586</v>
      </c>
      <c r="B71" s="12">
        <f t="shared" si="23"/>
        <v>41985</v>
      </c>
      <c r="C71" s="11">
        <f t="shared" ca="1" si="29"/>
        <v>89626.855969811761</v>
      </c>
      <c r="D71" s="15">
        <f t="shared" ca="1" si="14"/>
        <v>-0.02</v>
      </c>
      <c r="E71" s="13"/>
      <c r="F71" s="11">
        <f t="shared" ca="1" si="9"/>
        <v>-1829.1195095879957</v>
      </c>
      <c r="G71" s="27">
        <f t="shared" ca="1" si="10"/>
        <v>-402.40629210935907</v>
      </c>
      <c r="H71" s="27">
        <f t="shared" ca="1" si="11"/>
        <v>-20925.127189686671</v>
      </c>
      <c r="I71" s="13"/>
      <c r="J71" s="13"/>
      <c r="N71" s="25">
        <v>18809020.542190269</v>
      </c>
      <c r="O71" t="str">
        <f t="shared" si="33"/>
        <v>R 15-18</v>
      </c>
      <c r="P71">
        <f t="shared" si="34"/>
        <v>1</v>
      </c>
    </row>
    <row r="72" spans="1:16" x14ac:dyDescent="0.25">
      <c r="A72" s="11">
        <f t="shared" ca="1" si="28"/>
        <v>18140475.6482899</v>
      </c>
      <c r="B72" s="12">
        <f t="shared" si="23"/>
        <v>41992</v>
      </c>
      <c r="C72" s="11">
        <f t="shared" ca="1" si="29"/>
        <v>82456.707492226822</v>
      </c>
      <c r="D72" s="15">
        <f t="shared" ca="1" si="14"/>
        <v>-0.08</v>
      </c>
      <c r="E72" s="13"/>
      <c r="F72" s="11">
        <f t="shared" ca="1" si="9"/>
        <v>-7170.1484775849385</v>
      </c>
      <c r="G72" s="27">
        <f t="shared" ca="1" si="10"/>
        <v>-1577.4326650686864</v>
      </c>
      <c r="H72" s="27">
        <f t="shared" ca="1" si="11"/>
        <v>-82026.498583571694</v>
      </c>
      <c r="I72" s="13"/>
      <c r="J72" s="13"/>
      <c r="N72" s="25">
        <v>28784115.207620595</v>
      </c>
      <c r="O72" t="str">
        <f t="shared" si="33"/>
        <v>R 26-30</v>
      </c>
      <c r="P72">
        <f t="shared" si="34"/>
        <v>1</v>
      </c>
    </row>
    <row r="73" spans="1:16" x14ac:dyDescent="0.25">
      <c r="A73" s="11">
        <f t="shared" ca="1" si="28"/>
        <v>16870642.352909606</v>
      </c>
      <c r="B73" s="12">
        <f t="shared" si="23"/>
        <v>41999</v>
      </c>
      <c r="C73" s="11">
        <f t="shared" ca="1" si="29"/>
        <v>76684.73796777094</v>
      </c>
      <c r="D73" s="15">
        <f t="shared" ca="1" si="14"/>
        <v>-7.0000000000000007E-2</v>
      </c>
      <c r="E73" s="13"/>
      <c r="F73" s="11">
        <f t="shared" ca="1" si="9"/>
        <v>-5771.9695244558825</v>
      </c>
      <c r="G73" s="27">
        <f t="shared" ca="1" si="10"/>
        <v>-1269.8332953802942</v>
      </c>
      <c r="H73" s="27">
        <f t="shared" ca="1" si="11"/>
        <v>-66031.3313597753</v>
      </c>
      <c r="I73" s="13"/>
      <c r="J73" s="13"/>
      <c r="N73" s="25">
        <v>24265418.456743024</v>
      </c>
      <c r="O73" t="str">
        <f t="shared" si="33"/>
        <v>R 22-26</v>
      </c>
      <c r="P73">
        <f t="shared" si="34"/>
        <v>1</v>
      </c>
    </row>
    <row r="74" spans="1:16" x14ac:dyDescent="0.25">
      <c r="A74" s="11">
        <f t="shared" ca="1" si="28"/>
        <v>15858403.811735028</v>
      </c>
      <c r="B74" s="12">
        <f t="shared" si="23"/>
        <v>42006</v>
      </c>
      <c r="C74" s="11">
        <f t="shared" ca="1" si="29"/>
        <v>72083.653689704675</v>
      </c>
      <c r="D74" s="15">
        <f t="shared" ref="D74" ca="1" si="36">(INT(RAND()*($H$1-$G$1)+$G$1)/100)*$F$1</f>
        <v>-0.06</v>
      </c>
      <c r="E74" s="14">
        <f t="shared" ref="E74" ca="1" si="37">+C74/C70-1</f>
        <v>-0.21182128000000011</v>
      </c>
      <c r="F74" s="11">
        <f t="shared" ca="1" si="9"/>
        <v>-4601.0842780662642</v>
      </c>
      <c r="G74" s="27">
        <f t="shared" ca="1" si="10"/>
        <v>-1012.2385411745781</v>
      </c>
      <c r="H74" s="27">
        <f t="shared" ca="1" si="11"/>
        <v>-52636.404141078063</v>
      </c>
      <c r="I74" s="13"/>
      <c r="J74" s="13"/>
      <c r="N74" s="25">
        <v>18177734.935805369</v>
      </c>
      <c r="O74" t="str">
        <f t="shared" si="33"/>
        <v>R 15-18</v>
      </c>
      <c r="P74">
        <f t="shared" si="34"/>
        <v>1</v>
      </c>
    </row>
    <row r="75" spans="1:16" x14ac:dyDescent="0.25">
      <c r="A75" s="11"/>
      <c r="B75" s="12"/>
      <c r="C75" s="11"/>
      <c r="D75" s="15"/>
      <c r="E75" s="13"/>
      <c r="N75" s="25">
        <v>25991209.749770362</v>
      </c>
      <c r="O75" t="str">
        <f t="shared" si="33"/>
        <v>R 22-26</v>
      </c>
      <c r="P75">
        <f t="shared" si="34"/>
        <v>1</v>
      </c>
    </row>
    <row r="76" spans="1:16" x14ac:dyDescent="0.25">
      <c r="A76" s="11"/>
      <c r="B76" s="12"/>
      <c r="C76" s="11"/>
      <c r="D76" s="15"/>
      <c r="E76" s="13"/>
      <c r="N76" s="25">
        <v>14678918.981479404</v>
      </c>
      <c r="O76" t="str">
        <f t="shared" si="33"/>
        <v>R 11-15</v>
      </c>
      <c r="P76">
        <f t="shared" si="34"/>
        <v>1</v>
      </c>
    </row>
    <row r="77" spans="1:16" x14ac:dyDescent="0.25">
      <c r="A77" s="11"/>
      <c r="B77" s="12"/>
      <c r="C77" s="11"/>
      <c r="D77" s="15"/>
      <c r="E77" s="13"/>
      <c r="N77" s="25">
        <v>50643946.612076059</v>
      </c>
      <c r="O77" t="str">
        <f t="shared" si="33"/>
        <v>R 49-0</v>
      </c>
      <c r="P77">
        <f t="shared" si="34"/>
        <v>1</v>
      </c>
    </row>
    <row r="78" spans="1:16" x14ac:dyDescent="0.25">
      <c r="A78" s="11"/>
      <c r="B78" s="12"/>
      <c r="C78" s="11"/>
      <c r="D78" s="15"/>
      <c r="E78" s="14"/>
      <c r="N78" s="25">
        <v>52239709.064317353</v>
      </c>
      <c r="O78" t="str">
        <f t="shared" si="33"/>
        <v>R 49-0</v>
      </c>
      <c r="P78">
        <f t="shared" si="34"/>
        <v>1</v>
      </c>
    </row>
    <row r="79" spans="1:16" x14ac:dyDescent="0.25">
      <c r="A79" s="11"/>
      <c r="B79" s="12"/>
      <c r="C79" s="11"/>
      <c r="D79" s="15"/>
      <c r="E79" s="13"/>
      <c r="N79" s="25">
        <v>20579301.764415238</v>
      </c>
      <c r="O79" t="str">
        <f t="shared" si="33"/>
        <v>R 18-22</v>
      </c>
      <c r="P79">
        <f t="shared" si="34"/>
        <v>1</v>
      </c>
    </row>
    <row r="80" spans="1:16" x14ac:dyDescent="0.25">
      <c r="A80" s="11"/>
      <c r="B80" s="12"/>
      <c r="C80" s="11"/>
      <c r="D80" s="15"/>
      <c r="E80" s="13"/>
      <c r="N80" s="25">
        <v>25323791.15694014</v>
      </c>
      <c r="O80" t="str">
        <f t="shared" si="33"/>
        <v>R 22-26</v>
      </c>
      <c r="P80">
        <f t="shared" si="34"/>
        <v>1</v>
      </c>
    </row>
    <row r="81" spans="1:16" x14ac:dyDescent="0.25">
      <c r="A81" s="11"/>
      <c r="B81" s="12"/>
      <c r="C81" s="11"/>
      <c r="D81" s="15"/>
      <c r="E81" s="13"/>
      <c r="N81" s="25">
        <v>10035581.963407964</v>
      </c>
      <c r="O81" t="str">
        <f t="shared" si="33"/>
        <v>R 7-11</v>
      </c>
      <c r="P81">
        <f t="shared" si="34"/>
        <v>1</v>
      </c>
    </row>
    <row r="82" spans="1:16" x14ac:dyDescent="0.25">
      <c r="A82" s="11"/>
      <c r="B82" s="12"/>
      <c r="C82" s="11"/>
      <c r="D82" s="15"/>
      <c r="E82" s="14"/>
      <c r="N82" s="25">
        <v>31782835.191621032</v>
      </c>
      <c r="O82" t="str">
        <f t="shared" si="33"/>
        <v>R 30-33</v>
      </c>
      <c r="P82">
        <f t="shared" si="34"/>
        <v>1</v>
      </c>
    </row>
    <row r="83" spans="1:16" x14ac:dyDescent="0.25">
      <c r="A83" s="11"/>
      <c r="B83" s="12"/>
      <c r="C83" s="11"/>
      <c r="D83" s="15"/>
      <c r="E83" s="13"/>
      <c r="N83" s="25">
        <v>13985352.135947719</v>
      </c>
      <c r="O83" t="str">
        <f t="shared" si="33"/>
        <v>R 11-15</v>
      </c>
      <c r="P83">
        <f t="shared" si="34"/>
        <v>1</v>
      </c>
    </row>
    <row r="84" spans="1:16" x14ac:dyDescent="0.25">
      <c r="A84" s="11"/>
      <c r="B84" s="12"/>
      <c r="C84" s="11"/>
      <c r="D84" s="15"/>
      <c r="E84" s="13"/>
      <c r="N84" s="25">
        <v>15498620.800672552</v>
      </c>
      <c r="O84" t="str">
        <f t="shared" si="33"/>
        <v>R 15-18</v>
      </c>
      <c r="P84">
        <f t="shared" si="34"/>
        <v>1</v>
      </c>
    </row>
    <row r="85" spans="1:16" x14ac:dyDescent="0.25">
      <c r="A85" s="11"/>
      <c r="B85" s="12"/>
      <c r="C85" s="11"/>
      <c r="D85" s="15"/>
      <c r="E85" s="13"/>
      <c r="N85" s="25">
        <v>14636547.920269687</v>
      </c>
      <c r="O85" t="str">
        <f t="shared" si="33"/>
        <v>R 11-15</v>
      </c>
      <c r="P85">
        <f t="shared" si="34"/>
        <v>1</v>
      </c>
    </row>
    <row r="86" spans="1:16" x14ac:dyDescent="0.25">
      <c r="A86" s="11"/>
      <c r="B86" s="12"/>
      <c r="C86" s="11"/>
      <c r="D86" s="15"/>
      <c r="E86" s="14"/>
      <c r="N86" s="25">
        <v>15008214.934187727</v>
      </c>
      <c r="O86" t="str">
        <f t="shared" si="33"/>
        <v>R 11-15</v>
      </c>
      <c r="P86">
        <f t="shared" si="34"/>
        <v>1</v>
      </c>
    </row>
    <row r="87" spans="1:16" x14ac:dyDescent="0.25">
      <c r="A87" s="11"/>
      <c r="B87" s="12"/>
      <c r="C87" s="11"/>
      <c r="D87" s="15"/>
      <c r="E87" s="13"/>
      <c r="N87" s="25">
        <v>10197382.35739696</v>
      </c>
      <c r="O87" t="str">
        <f t="shared" si="33"/>
        <v>R 7-11</v>
      </c>
      <c r="P87">
        <f t="shared" si="34"/>
        <v>1</v>
      </c>
    </row>
    <row r="88" spans="1:16" x14ac:dyDescent="0.25">
      <c r="A88" s="11"/>
      <c r="B88" s="12"/>
      <c r="C88" s="11"/>
      <c r="D88" s="15"/>
      <c r="E88" s="13"/>
      <c r="N88" s="25">
        <v>5777724.1852935851</v>
      </c>
      <c r="O88" t="str">
        <f t="shared" si="33"/>
        <v>R 3-7</v>
      </c>
      <c r="P88">
        <f t="shared" si="34"/>
        <v>1</v>
      </c>
    </row>
    <row r="89" spans="1:16" x14ac:dyDescent="0.25">
      <c r="A89" s="11"/>
      <c r="B89" s="12"/>
      <c r="C89" s="11"/>
      <c r="D89" s="15"/>
      <c r="E89" s="13"/>
      <c r="N89" s="25">
        <v>9732895.888634095</v>
      </c>
      <c r="O89" t="str">
        <f t="shared" si="33"/>
        <v>R 7-11</v>
      </c>
      <c r="P89">
        <f t="shared" si="34"/>
        <v>1</v>
      </c>
    </row>
    <row r="90" spans="1:16" x14ac:dyDescent="0.25">
      <c r="A90" s="11"/>
      <c r="B90" s="12"/>
      <c r="C90" s="11"/>
      <c r="D90" s="15"/>
      <c r="E90" s="14"/>
      <c r="N90" s="25">
        <v>30381685.131041504</v>
      </c>
      <c r="O90" t="str">
        <f t="shared" si="33"/>
        <v>R 30-33</v>
      </c>
      <c r="P90">
        <f t="shared" si="34"/>
        <v>1</v>
      </c>
    </row>
    <row r="91" spans="1:16" x14ac:dyDescent="0.25">
      <c r="A91" s="11"/>
      <c r="B91" s="12"/>
      <c r="C91" s="11"/>
      <c r="D91" s="15"/>
      <c r="E91" s="13"/>
      <c r="N91" s="25">
        <v>29984811.016165368</v>
      </c>
      <c r="O91" t="str">
        <f t="shared" si="33"/>
        <v>R 26-30</v>
      </c>
      <c r="P91">
        <f t="shared" si="34"/>
        <v>1</v>
      </c>
    </row>
    <row r="92" spans="1:16" x14ac:dyDescent="0.25">
      <c r="A92" s="11"/>
      <c r="B92" s="12"/>
      <c r="C92" s="11"/>
      <c r="D92" s="15"/>
      <c r="E92" s="13"/>
      <c r="N92" s="25">
        <v>41062225.159637809</v>
      </c>
      <c r="O92" t="str">
        <f t="shared" si="33"/>
        <v>R 37-41</v>
      </c>
      <c r="P92">
        <f t="shared" si="34"/>
        <v>1</v>
      </c>
    </row>
    <row r="93" spans="1:16" x14ac:dyDescent="0.25">
      <c r="A93" s="11"/>
      <c r="B93" s="12"/>
      <c r="C93" s="11"/>
      <c r="D93" s="15"/>
      <c r="E93" s="13"/>
      <c r="N93" s="25">
        <v>50244016.626447037</v>
      </c>
      <c r="O93" t="str">
        <f t="shared" si="33"/>
        <v>R 49-0</v>
      </c>
      <c r="P93">
        <f t="shared" si="34"/>
        <v>1</v>
      </c>
    </row>
    <row r="94" spans="1:16" x14ac:dyDescent="0.25">
      <c r="A94" s="11"/>
      <c r="B94" s="12"/>
      <c r="C94" s="11"/>
      <c r="D94" s="15"/>
      <c r="E94" s="14"/>
      <c r="N94" s="25">
        <v>17881730.150342155</v>
      </c>
      <c r="O94" t="str">
        <f t="shared" si="33"/>
        <v>R 15-18</v>
      </c>
      <c r="P94">
        <f t="shared" si="34"/>
        <v>1</v>
      </c>
    </row>
    <row r="95" spans="1:16" x14ac:dyDescent="0.25">
      <c r="A95" s="11"/>
      <c r="B95" s="12"/>
      <c r="C95" s="11"/>
      <c r="D95" s="15"/>
      <c r="E95" s="13"/>
      <c r="N95" s="25">
        <v>20324039.330674946</v>
      </c>
      <c r="O95" t="str">
        <f t="shared" si="33"/>
        <v>R 18-22</v>
      </c>
      <c r="P95">
        <f t="shared" si="34"/>
        <v>1</v>
      </c>
    </row>
    <row r="96" spans="1:16" x14ac:dyDescent="0.25">
      <c r="A96" s="11"/>
      <c r="B96" s="12"/>
      <c r="C96" s="11"/>
      <c r="D96" s="15"/>
      <c r="E96" s="13"/>
      <c r="N96" s="25">
        <v>11410716.485964766</v>
      </c>
      <c r="O96" t="str">
        <f t="shared" si="33"/>
        <v>R 11-15</v>
      </c>
      <c r="P96">
        <f t="shared" si="34"/>
        <v>1</v>
      </c>
    </row>
    <row r="97" spans="1:16" x14ac:dyDescent="0.25">
      <c r="A97" s="11"/>
      <c r="B97" s="12"/>
      <c r="C97" s="11"/>
      <c r="D97" s="15"/>
      <c r="E97" s="13"/>
      <c r="N97" s="25">
        <v>47133190.736719251</v>
      </c>
      <c r="O97" t="str">
        <f t="shared" si="33"/>
        <v>R 45-49</v>
      </c>
      <c r="P97">
        <f t="shared" si="34"/>
        <v>1</v>
      </c>
    </row>
    <row r="98" spans="1:16" x14ac:dyDescent="0.25">
      <c r="A98" s="11"/>
      <c r="B98" s="12"/>
      <c r="C98" s="11"/>
      <c r="D98" s="15"/>
      <c r="E98" s="14"/>
      <c r="N98" s="25">
        <v>11772671.109776793</v>
      </c>
      <c r="O98" t="str">
        <f t="shared" ref="O98:O101" si="38">VLOOKUP(N98,$R$2:$T$15,3,TRUE)</f>
        <v>R 11-15</v>
      </c>
      <c r="P98">
        <f t="shared" si="34"/>
        <v>1</v>
      </c>
    </row>
    <row r="99" spans="1:16" x14ac:dyDescent="0.25">
      <c r="N99" s="25">
        <v>24656223.633808769</v>
      </c>
      <c r="O99" t="str">
        <f t="shared" si="38"/>
        <v>R 22-26</v>
      </c>
      <c r="P99">
        <f t="shared" si="34"/>
        <v>1</v>
      </c>
    </row>
    <row r="100" spans="1:16" x14ac:dyDescent="0.25">
      <c r="N100" s="25">
        <v>19731066.815585654</v>
      </c>
      <c r="O100" t="str">
        <f t="shared" si="38"/>
        <v>R 18-22</v>
      </c>
      <c r="P100">
        <f t="shared" si="34"/>
        <v>1</v>
      </c>
    </row>
    <row r="101" spans="1:16" x14ac:dyDescent="0.25">
      <c r="N101" s="25">
        <v>23888865.628416426</v>
      </c>
      <c r="O101" t="str">
        <f t="shared" si="38"/>
        <v>R 22-26</v>
      </c>
      <c r="P101">
        <f t="shared" si="34"/>
        <v>1</v>
      </c>
    </row>
    <row r="102" spans="1:16" x14ac:dyDescent="0.25">
      <c r="N102" s="25">
        <v>20986594.003032528</v>
      </c>
      <c r="O102" t="str">
        <f t="shared" ref="O102:O165" si="39">VLOOKUP(N102,$R$2:$T$15,3,TRUE)</f>
        <v>R 18-22</v>
      </c>
      <c r="P102">
        <f t="shared" si="34"/>
        <v>1</v>
      </c>
    </row>
    <row r="103" spans="1:16" x14ac:dyDescent="0.25">
      <c r="N103" s="25">
        <v>14629830.504666662</v>
      </c>
      <c r="O103" t="str">
        <f t="shared" si="39"/>
        <v>R 11-15</v>
      </c>
      <c r="P103">
        <f t="shared" si="34"/>
        <v>1</v>
      </c>
    </row>
    <row r="104" spans="1:16" x14ac:dyDescent="0.25">
      <c r="N104" s="25">
        <v>15900885.132702649</v>
      </c>
      <c r="O104" t="str">
        <f t="shared" si="39"/>
        <v>R 15-18</v>
      </c>
      <c r="P104">
        <f t="shared" si="34"/>
        <v>1</v>
      </c>
    </row>
    <row r="105" spans="1:16" x14ac:dyDescent="0.25">
      <c r="N105" s="25">
        <v>33810937.932240807</v>
      </c>
      <c r="O105" t="str">
        <f t="shared" si="39"/>
        <v>R 30-33</v>
      </c>
      <c r="P105">
        <f t="shared" si="34"/>
        <v>1</v>
      </c>
    </row>
    <row r="106" spans="1:16" x14ac:dyDescent="0.25">
      <c r="N106" s="25">
        <v>9074836.5771696679</v>
      </c>
      <c r="O106" t="str">
        <f t="shared" si="39"/>
        <v>R 7-11</v>
      </c>
      <c r="P106">
        <f t="shared" si="34"/>
        <v>1</v>
      </c>
    </row>
    <row r="107" spans="1:16" x14ac:dyDescent="0.25">
      <c r="N107" s="25">
        <v>14738321.070803812</v>
      </c>
      <c r="O107" t="str">
        <f t="shared" si="39"/>
        <v>R 11-15</v>
      </c>
      <c r="P107">
        <f t="shared" si="34"/>
        <v>1</v>
      </c>
    </row>
    <row r="108" spans="1:16" x14ac:dyDescent="0.25">
      <c r="N108" s="25">
        <v>9385958.6454985607</v>
      </c>
      <c r="O108" t="str">
        <f t="shared" si="39"/>
        <v>R 7-11</v>
      </c>
      <c r="P108">
        <f t="shared" si="34"/>
        <v>1</v>
      </c>
    </row>
    <row r="109" spans="1:16" x14ac:dyDescent="0.25">
      <c r="N109" s="25">
        <v>15538503.592331775</v>
      </c>
      <c r="O109" t="str">
        <f t="shared" si="39"/>
        <v>R 15-18</v>
      </c>
      <c r="P109">
        <f t="shared" si="34"/>
        <v>1</v>
      </c>
    </row>
    <row r="110" spans="1:16" x14ac:dyDescent="0.25">
      <c r="N110" s="25">
        <v>36760875.222062305</v>
      </c>
      <c r="O110" t="str">
        <f t="shared" si="39"/>
        <v>R 33-37</v>
      </c>
      <c r="P110">
        <f t="shared" si="34"/>
        <v>1</v>
      </c>
    </row>
    <row r="111" spans="1:16" x14ac:dyDescent="0.25">
      <c r="N111" s="25">
        <v>31312678.634328514</v>
      </c>
      <c r="O111" t="str">
        <f t="shared" si="39"/>
        <v>R 30-33</v>
      </c>
      <c r="P111">
        <f t="shared" si="34"/>
        <v>1</v>
      </c>
    </row>
    <row r="112" spans="1:16" x14ac:dyDescent="0.25">
      <c r="N112" s="25">
        <v>46072142.043230355</v>
      </c>
      <c r="O112" t="str">
        <f t="shared" si="39"/>
        <v>R 45-49</v>
      </c>
      <c r="P112">
        <f t="shared" si="34"/>
        <v>1</v>
      </c>
    </row>
    <row r="113" spans="14:16" x14ac:dyDescent="0.25">
      <c r="N113" s="25">
        <v>21341067.983130142</v>
      </c>
      <c r="O113" t="str">
        <f t="shared" si="39"/>
        <v>R 18-22</v>
      </c>
      <c r="P113">
        <f t="shared" si="34"/>
        <v>1</v>
      </c>
    </row>
    <row r="114" spans="14:16" x14ac:dyDescent="0.25">
      <c r="N114" s="25">
        <v>11436288.466422947</v>
      </c>
      <c r="O114" t="str">
        <f t="shared" si="39"/>
        <v>R 11-15</v>
      </c>
      <c r="P114">
        <f t="shared" si="34"/>
        <v>1</v>
      </c>
    </row>
    <row r="115" spans="14:16" x14ac:dyDescent="0.25">
      <c r="N115" s="25">
        <v>105294416.17780858</v>
      </c>
      <c r="O115" t="str">
        <f t="shared" si="39"/>
        <v>R 49-0</v>
      </c>
      <c r="P115">
        <f t="shared" si="34"/>
        <v>1</v>
      </c>
    </row>
    <row r="116" spans="14:16" x14ac:dyDescent="0.25">
      <c r="N116" s="25">
        <v>9723297.6508960724</v>
      </c>
      <c r="O116" t="str">
        <f t="shared" si="39"/>
        <v>R 7-11</v>
      </c>
      <c r="P116">
        <f t="shared" si="34"/>
        <v>1</v>
      </c>
    </row>
    <row r="117" spans="14:16" x14ac:dyDescent="0.25">
      <c r="N117" s="25">
        <v>9381937.6229208503</v>
      </c>
      <c r="O117" t="str">
        <f t="shared" si="39"/>
        <v>R 7-11</v>
      </c>
      <c r="P117">
        <f t="shared" si="34"/>
        <v>1</v>
      </c>
    </row>
    <row r="118" spans="14:16" x14ac:dyDescent="0.25">
      <c r="N118" s="25">
        <v>18422421.576375622</v>
      </c>
      <c r="O118" t="str">
        <f t="shared" si="39"/>
        <v>R 15-18</v>
      </c>
      <c r="P118">
        <f t="shared" si="34"/>
        <v>1</v>
      </c>
    </row>
    <row r="119" spans="14:16" x14ac:dyDescent="0.25">
      <c r="N119" s="25">
        <v>7506062.8860819247</v>
      </c>
      <c r="O119" t="str">
        <f t="shared" si="39"/>
        <v>R 3-7</v>
      </c>
      <c r="P119">
        <f t="shared" si="34"/>
        <v>1</v>
      </c>
    </row>
    <row r="120" spans="14:16" x14ac:dyDescent="0.25">
      <c r="N120" s="25">
        <v>109802605.41584675</v>
      </c>
      <c r="O120" t="str">
        <f t="shared" si="39"/>
        <v>R 49-0</v>
      </c>
      <c r="P120">
        <f t="shared" si="34"/>
        <v>1</v>
      </c>
    </row>
    <row r="121" spans="14:16" x14ac:dyDescent="0.25">
      <c r="N121" s="25">
        <v>66986114.001778573</v>
      </c>
      <c r="O121" t="str">
        <f t="shared" si="39"/>
        <v>R 49-0</v>
      </c>
      <c r="P121">
        <f t="shared" si="34"/>
        <v>1</v>
      </c>
    </row>
    <row r="122" spans="14:16" x14ac:dyDescent="0.25">
      <c r="N122" s="25">
        <v>31842248.878218334</v>
      </c>
      <c r="O122" t="str">
        <f t="shared" si="39"/>
        <v>R 30-33</v>
      </c>
      <c r="P122">
        <f t="shared" si="34"/>
        <v>1</v>
      </c>
    </row>
    <row r="123" spans="14:16" x14ac:dyDescent="0.25">
      <c r="N123" s="25">
        <v>21141400.133057531</v>
      </c>
      <c r="O123" t="str">
        <f t="shared" si="39"/>
        <v>R 18-22</v>
      </c>
      <c r="P123">
        <f t="shared" si="34"/>
        <v>1</v>
      </c>
    </row>
    <row r="124" spans="14:16" x14ac:dyDescent="0.25">
      <c r="N124" s="25">
        <v>40606234.897649765</v>
      </c>
      <c r="O124" t="str">
        <f t="shared" si="39"/>
        <v>R 37-41</v>
      </c>
      <c r="P124">
        <f t="shared" si="34"/>
        <v>1</v>
      </c>
    </row>
    <row r="125" spans="14:16" x14ac:dyDescent="0.25">
      <c r="N125" s="25">
        <v>107548149.01978877</v>
      </c>
      <c r="O125" t="str">
        <f t="shared" si="39"/>
        <v>R 49-0</v>
      </c>
      <c r="P125">
        <f t="shared" si="34"/>
        <v>1</v>
      </c>
    </row>
    <row r="126" spans="14:16" x14ac:dyDescent="0.25">
      <c r="N126" s="25">
        <v>40102647.729592219</v>
      </c>
      <c r="O126" t="str">
        <f t="shared" si="39"/>
        <v>R 37-41</v>
      </c>
      <c r="P126">
        <f t="shared" si="34"/>
        <v>1</v>
      </c>
    </row>
    <row r="127" spans="14:16" x14ac:dyDescent="0.25">
      <c r="N127" s="25">
        <v>34834639.536850207</v>
      </c>
      <c r="O127" t="str">
        <f t="shared" si="39"/>
        <v>R 33-37</v>
      </c>
      <c r="P127">
        <f t="shared" si="34"/>
        <v>1</v>
      </c>
    </row>
    <row r="128" spans="14:16" x14ac:dyDescent="0.25">
      <c r="N128" s="25">
        <v>15629748.637163583</v>
      </c>
      <c r="O128" t="str">
        <f t="shared" si="39"/>
        <v>R 15-18</v>
      </c>
      <c r="P128">
        <f t="shared" si="34"/>
        <v>1</v>
      </c>
    </row>
    <row r="129" spans="14:16" x14ac:dyDescent="0.25">
      <c r="N129" s="25">
        <v>10660287.637074612</v>
      </c>
      <c r="O129" t="str">
        <f t="shared" si="39"/>
        <v>R 7-11</v>
      </c>
      <c r="P129">
        <f t="shared" si="34"/>
        <v>1</v>
      </c>
    </row>
    <row r="130" spans="14:16" x14ac:dyDescent="0.25">
      <c r="N130" s="25">
        <v>13081127.485786987</v>
      </c>
      <c r="O130" t="str">
        <f t="shared" si="39"/>
        <v>R 11-15</v>
      </c>
      <c r="P130">
        <f t="shared" si="34"/>
        <v>1</v>
      </c>
    </row>
    <row r="131" spans="14:16" x14ac:dyDescent="0.25">
      <c r="N131" s="25">
        <v>24747316.332929961</v>
      </c>
      <c r="O131" t="str">
        <f t="shared" si="39"/>
        <v>R 22-26</v>
      </c>
      <c r="P131">
        <f t="shared" ref="P131:P194" si="40">1*(N131&lt;&gt;0)</f>
        <v>1</v>
      </c>
    </row>
    <row r="132" spans="14:16" x14ac:dyDescent="0.25">
      <c r="N132" s="25">
        <v>9721687.7539898586</v>
      </c>
      <c r="O132" t="str">
        <f t="shared" si="39"/>
        <v>R 7-11</v>
      </c>
      <c r="P132">
        <f t="shared" si="40"/>
        <v>1</v>
      </c>
    </row>
    <row r="133" spans="14:16" x14ac:dyDescent="0.25">
      <c r="N133" s="25">
        <v>31155647.236733854</v>
      </c>
      <c r="O133" t="str">
        <f t="shared" si="39"/>
        <v>R 30-33</v>
      </c>
      <c r="P133">
        <f t="shared" si="40"/>
        <v>1</v>
      </c>
    </row>
    <row r="134" spans="14:16" x14ac:dyDescent="0.25">
      <c r="N134" s="25">
        <v>30909175.239149593</v>
      </c>
      <c r="O134" t="str">
        <f t="shared" si="39"/>
        <v>R 30-33</v>
      </c>
      <c r="P134">
        <f t="shared" si="40"/>
        <v>1</v>
      </c>
    </row>
    <row r="135" spans="14:16" x14ac:dyDescent="0.25">
      <c r="N135" s="25">
        <v>15014766.179586386</v>
      </c>
      <c r="O135" t="str">
        <f t="shared" si="39"/>
        <v>R 11-15</v>
      </c>
      <c r="P135">
        <f t="shared" si="40"/>
        <v>1</v>
      </c>
    </row>
    <row r="136" spans="14:16" x14ac:dyDescent="0.25">
      <c r="N136" s="25">
        <v>21530824.4701747</v>
      </c>
      <c r="O136" t="str">
        <f t="shared" si="39"/>
        <v>R 18-22</v>
      </c>
      <c r="P136">
        <f t="shared" si="40"/>
        <v>1</v>
      </c>
    </row>
    <row r="137" spans="14:16" x14ac:dyDescent="0.25">
      <c r="N137" s="25">
        <v>25772167.835677467</v>
      </c>
      <c r="O137" t="str">
        <f t="shared" si="39"/>
        <v>R 22-26</v>
      </c>
      <c r="P137">
        <f t="shared" si="40"/>
        <v>1</v>
      </c>
    </row>
    <row r="138" spans="14:16" x14ac:dyDescent="0.25">
      <c r="N138" s="25">
        <v>36161858.83772324</v>
      </c>
      <c r="O138" t="str">
        <f t="shared" si="39"/>
        <v>R 33-37</v>
      </c>
      <c r="P138">
        <f t="shared" si="40"/>
        <v>1</v>
      </c>
    </row>
    <row r="139" spans="14:16" x14ac:dyDescent="0.25">
      <c r="N139" s="25">
        <v>23543004.866037417</v>
      </c>
      <c r="O139" t="str">
        <f t="shared" si="39"/>
        <v>R 22-26</v>
      </c>
      <c r="P139">
        <f t="shared" si="40"/>
        <v>1</v>
      </c>
    </row>
    <row r="140" spans="14:16" x14ac:dyDescent="0.25">
      <c r="N140" s="25">
        <v>9062920.2295184266</v>
      </c>
      <c r="O140" t="str">
        <f t="shared" si="39"/>
        <v>R 7-11</v>
      </c>
      <c r="P140">
        <f t="shared" si="40"/>
        <v>1</v>
      </c>
    </row>
    <row r="141" spans="14:16" x14ac:dyDescent="0.25">
      <c r="N141" s="25">
        <v>26117623.217736345</v>
      </c>
      <c r="O141" t="str">
        <f t="shared" si="39"/>
        <v>R 22-26</v>
      </c>
      <c r="P141">
        <f t="shared" si="40"/>
        <v>1</v>
      </c>
    </row>
    <row r="142" spans="14:16" x14ac:dyDescent="0.25">
      <c r="N142" s="25">
        <v>18568712.843880754</v>
      </c>
      <c r="O142" t="str">
        <f t="shared" si="39"/>
        <v>R 15-18</v>
      </c>
      <c r="P142">
        <f t="shared" si="40"/>
        <v>1</v>
      </c>
    </row>
    <row r="143" spans="14:16" x14ac:dyDescent="0.25">
      <c r="N143" s="25">
        <v>53116027.80377312</v>
      </c>
      <c r="O143" t="str">
        <f t="shared" si="39"/>
        <v>R 49-0</v>
      </c>
      <c r="P143">
        <f t="shared" si="40"/>
        <v>1</v>
      </c>
    </row>
    <row r="144" spans="14:16" x14ac:dyDescent="0.25">
      <c r="N144" s="25">
        <v>9557214.7310561258</v>
      </c>
      <c r="O144" t="str">
        <f t="shared" si="39"/>
        <v>R 7-11</v>
      </c>
      <c r="P144">
        <f t="shared" si="40"/>
        <v>1</v>
      </c>
    </row>
    <row r="145" spans="14:16" x14ac:dyDescent="0.25">
      <c r="N145" s="25">
        <v>19658187.098220877</v>
      </c>
      <c r="O145" t="str">
        <f t="shared" si="39"/>
        <v>R 18-22</v>
      </c>
      <c r="P145">
        <f t="shared" si="40"/>
        <v>1</v>
      </c>
    </row>
    <row r="146" spans="14:16" x14ac:dyDescent="0.25">
      <c r="N146" s="25">
        <v>30578030.26756743</v>
      </c>
      <c r="O146" t="str">
        <f t="shared" si="39"/>
        <v>R 30-33</v>
      </c>
      <c r="P146">
        <f t="shared" si="40"/>
        <v>1</v>
      </c>
    </row>
    <row r="147" spans="14:16" x14ac:dyDescent="0.25">
      <c r="N147" s="25">
        <v>16100711.130837126</v>
      </c>
      <c r="O147" t="str">
        <f t="shared" si="39"/>
        <v>R 15-18</v>
      </c>
      <c r="P147">
        <f t="shared" si="40"/>
        <v>1</v>
      </c>
    </row>
    <row r="148" spans="14:16" x14ac:dyDescent="0.25">
      <c r="N148" s="25">
        <v>60053242.002587155</v>
      </c>
      <c r="O148" t="str">
        <f t="shared" si="39"/>
        <v>R 49-0</v>
      </c>
      <c r="P148">
        <f t="shared" si="40"/>
        <v>1</v>
      </c>
    </row>
    <row r="149" spans="14:16" x14ac:dyDescent="0.25">
      <c r="N149" s="25">
        <v>22674542.120020181</v>
      </c>
      <c r="O149" t="str">
        <f t="shared" si="39"/>
        <v>R 22-26</v>
      </c>
      <c r="P149">
        <f t="shared" si="40"/>
        <v>1</v>
      </c>
    </row>
    <row r="150" spans="14:16" x14ac:dyDescent="0.25">
      <c r="N150" s="25">
        <v>4721851.1442943579</v>
      </c>
      <c r="O150" t="str">
        <f t="shared" si="39"/>
        <v>R 3-7</v>
      </c>
      <c r="P150">
        <f t="shared" si="40"/>
        <v>1</v>
      </c>
    </row>
    <row r="151" spans="14:16" x14ac:dyDescent="0.25">
      <c r="N151" s="25">
        <v>30084055.553701315</v>
      </c>
      <c r="O151" t="str">
        <f t="shared" si="39"/>
        <v>R 26-30</v>
      </c>
      <c r="P151">
        <f t="shared" si="40"/>
        <v>1</v>
      </c>
    </row>
    <row r="152" spans="14:16" x14ac:dyDescent="0.25">
      <c r="N152" s="25">
        <v>14372405.237773439</v>
      </c>
      <c r="O152" t="str">
        <f t="shared" si="39"/>
        <v>R 11-15</v>
      </c>
      <c r="P152">
        <f t="shared" si="40"/>
        <v>1</v>
      </c>
    </row>
    <row r="153" spans="14:16" x14ac:dyDescent="0.25">
      <c r="N153" s="25">
        <v>31709836.969172742</v>
      </c>
      <c r="O153" t="str">
        <f t="shared" si="39"/>
        <v>R 30-33</v>
      </c>
      <c r="P153">
        <f t="shared" si="40"/>
        <v>1</v>
      </c>
    </row>
    <row r="154" spans="14:16" x14ac:dyDescent="0.25">
      <c r="N154" s="25">
        <v>16817476.110043243</v>
      </c>
      <c r="O154" t="str">
        <f t="shared" si="39"/>
        <v>R 15-18</v>
      </c>
      <c r="P154">
        <f t="shared" si="40"/>
        <v>1</v>
      </c>
    </row>
    <row r="155" spans="14:16" x14ac:dyDescent="0.25">
      <c r="N155" s="25">
        <v>26964546.942895304</v>
      </c>
      <c r="O155" t="str">
        <f t="shared" si="39"/>
        <v>R 26-30</v>
      </c>
      <c r="P155">
        <f t="shared" si="40"/>
        <v>1</v>
      </c>
    </row>
    <row r="156" spans="14:16" x14ac:dyDescent="0.25">
      <c r="N156" s="25">
        <v>22918824.193427447</v>
      </c>
      <c r="O156" t="str">
        <f t="shared" si="39"/>
        <v>R 22-26</v>
      </c>
      <c r="P156">
        <f t="shared" si="40"/>
        <v>1</v>
      </c>
    </row>
    <row r="157" spans="14:16" x14ac:dyDescent="0.25">
      <c r="N157" s="25">
        <v>10389393.747743376</v>
      </c>
      <c r="O157" t="str">
        <f t="shared" si="39"/>
        <v>R 7-11</v>
      </c>
      <c r="P157">
        <f t="shared" si="40"/>
        <v>1</v>
      </c>
    </row>
    <row r="158" spans="14:16" x14ac:dyDescent="0.25">
      <c r="N158" s="25">
        <v>29613088.858757555</v>
      </c>
      <c r="O158" t="str">
        <f t="shared" si="39"/>
        <v>R 26-30</v>
      </c>
      <c r="P158">
        <f t="shared" si="40"/>
        <v>1</v>
      </c>
    </row>
    <row r="159" spans="14:16" x14ac:dyDescent="0.25">
      <c r="N159" s="25">
        <v>21691831.27665348</v>
      </c>
      <c r="O159" t="str">
        <f t="shared" si="39"/>
        <v>R 18-22</v>
      </c>
      <c r="P159">
        <f t="shared" si="40"/>
        <v>1</v>
      </c>
    </row>
    <row r="160" spans="14:16" x14ac:dyDescent="0.25">
      <c r="N160" s="25">
        <v>19631521.319647282</v>
      </c>
      <c r="O160" t="str">
        <f t="shared" si="39"/>
        <v>R 18-22</v>
      </c>
      <c r="P160">
        <f t="shared" si="40"/>
        <v>1</v>
      </c>
    </row>
    <row r="161" spans="14:16" x14ac:dyDescent="0.25">
      <c r="N161" s="25">
        <v>40683963.381868526</v>
      </c>
      <c r="O161" t="str">
        <f t="shared" si="39"/>
        <v>R 37-41</v>
      </c>
      <c r="P161">
        <f t="shared" si="40"/>
        <v>1</v>
      </c>
    </row>
    <row r="162" spans="14:16" x14ac:dyDescent="0.25">
      <c r="N162" s="25">
        <v>31306315.095753316</v>
      </c>
      <c r="O162" t="str">
        <f t="shared" si="39"/>
        <v>R 30-33</v>
      </c>
      <c r="P162">
        <f t="shared" si="40"/>
        <v>1</v>
      </c>
    </row>
    <row r="163" spans="14:16" x14ac:dyDescent="0.25">
      <c r="N163" s="25">
        <v>30178357.45312161</v>
      </c>
      <c r="O163" t="str">
        <f t="shared" si="39"/>
        <v>R 30-33</v>
      </c>
      <c r="P163">
        <f t="shared" si="40"/>
        <v>1</v>
      </c>
    </row>
    <row r="164" spans="14:16" x14ac:dyDescent="0.25">
      <c r="N164" s="25">
        <v>52052583.436727978</v>
      </c>
      <c r="O164" t="str">
        <f t="shared" si="39"/>
        <v>R 49-0</v>
      </c>
      <c r="P164">
        <f t="shared" si="40"/>
        <v>1</v>
      </c>
    </row>
    <row r="165" spans="14:16" x14ac:dyDescent="0.25">
      <c r="N165" s="25">
        <v>9172030.2884229161</v>
      </c>
      <c r="O165" t="str">
        <f t="shared" si="39"/>
        <v>R 7-11</v>
      </c>
      <c r="P165">
        <f t="shared" si="40"/>
        <v>1</v>
      </c>
    </row>
    <row r="166" spans="14:16" x14ac:dyDescent="0.25">
      <c r="N166" s="25">
        <v>14915391.934766605</v>
      </c>
      <c r="O166" t="str">
        <f t="shared" ref="O166:O229" si="41">VLOOKUP(N166,$R$2:$T$15,3,TRUE)</f>
        <v>R 11-15</v>
      </c>
      <c r="P166">
        <f t="shared" si="40"/>
        <v>1</v>
      </c>
    </row>
    <row r="167" spans="14:16" x14ac:dyDescent="0.25">
      <c r="N167" s="25">
        <v>23553149.120163381</v>
      </c>
      <c r="O167" t="str">
        <f t="shared" si="41"/>
        <v>R 22-26</v>
      </c>
      <c r="P167">
        <f t="shared" si="40"/>
        <v>1</v>
      </c>
    </row>
    <row r="168" spans="14:16" x14ac:dyDescent="0.25">
      <c r="N168" s="25">
        <v>32207286.765863556</v>
      </c>
      <c r="O168" t="str">
        <f t="shared" si="41"/>
        <v>R 30-33</v>
      </c>
      <c r="P168">
        <f t="shared" si="40"/>
        <v>1</v>
      </c>
    </row>
    <row r="169" spans="14:16" x14ac:dyDescent="0.25">
      <c r="N169" s="25">
        <v>15576250.941168489</v>
      </c>
      <c r="O169" t="str">
        <f t="shared" si="41"/>
        <v>R 15-18</v>
      </c>
      <c r="P169">
        <f t="shared" si="40"/>
        <v>1</v>
      </c>
    </row>
    <row r="170" spans="14:16" x14ac:dyDescent="0.25">
      <c r="N170" s="25">
        <v>13991126.155428302</v>
      </c>
      <c r="O170" t="str">
        <f t="shared" si="41"/>
        <v>R 11-15</v>
      </c>
      <c r="P170">
        <f t="shared" si="40"/>
        <v>1</v>
      </c>
    </row>
    <row r="171" spans="14:16" x14ac:dyDescent="0.25">
      <c r="N171" s="25">
        <v>26800725.330650486</v>
      </c>
      <c r="O171" t="str">
        <f t="shared" si="41"/>
        <v>R 26-30</v>
      </c>
      <c r="P171">
        <f t="shared" si="40"/>
        <v>1</v>
      </c>
    </row>
    <row r="172" spans="14:16" x14ac:dyDescent="0.25">
      <c r="N172" s="25">
        <v>18281186.385248806</v>
      </c>
      <c r="O172" t="str">
        <f t="shared" si="41"/>
        <v>R 15-18</v>
      </c>
      <c r="P172">
        <f t="shared" si="40"/>
        <v>1</v>
      </c>
    </row>
    <row r="173" spans="14:16" x14ac:dyDescent="0.25">
      <c r="N173" s="25">
        <v>19041041.462961677</v>
      </c>
      <c r="O173" t="str">
        <f t="shared" si="41"/>
        <v>R 18-22</v>
      </c>
      <c r="P173">
        <f t="shared" si="40"/>
        <v>1</v>
      </c>
    </row>
    <row r="174" spans="14:16" x14ac:dyDescent="0.25">
      <c r="N174" s="25">
        <v>16516733.971766571</v>
      </c>
      <c r="O174" t="str">
        <f t="shared" si="41"/>
        <v>R 15-18</v>
      </c>
      <c r="P174">
        <f t="shared" si="40"/>
        <v>1</v>
      </c>
    </row>
    <row r="175" spans="14:16" x14ac:dyDescent="0.25">
      <c r="N175" s="25">
        <v>20309888.25315547</v>
      </c>
      <c r="O175" t="str">
        <f t="shared" si="41"/>
        <v>R 18-22</v>
      </c>
      <c r="P175">
        <f t="shared" si="40"/>
        <v>1</v>
      </c>
    </row>
    <row r="176" spans="14:16" x14ac:dyDescent="0.25">
      <c r="N176" s="25">
        <v>23740422.144044634</v>
      </c>
      <c r="O176" t="str">
        <f t="shared" si="41"/>
        <v>R 22-26</v>
      </c>
      <c r="P176">
        <f t="shared" si="40"/>
        <v>1</v>
      </c>
    </row>
    <row r="177" spans="14:16" x14ac:dyDescent="0.25">
      <c r="N177" s="25">
        <v>33438311.7804325</v>
      </c>
      <c r="O177" t="str">
        <f t="shared" si="41"/>
        <v>R 30-33</v>
      </c>
      <c r="P177">
        <f t="shared" si="40"/>
        <v>1</v>
      </c>
    </row>
    <row r="178" spans="14:16" x14ac:dyDescent="0.25">
      <c r="N178" s="25">
        <v>15681833.765658168</v>
      </c>
      <c r="O178" t="str">
        <f t="shared" si="41"/>
        <v>R 15-18</v>
      </c>
      <c r="P178">
        <f t="shared" si="40"/>
        <v>1</v>
      </c>
    </row>
    <row r="179" spans="14:16" x14ac:dyDescent="0.25">
      <c r="N179" s="25">
        <v>21780054.696966909</v>
      </c>
      <c r="O179" t="str">
        <f t="shared" si="41"/>
        <v>R 18-22</v>
      </c>
      <c r="P179">
        <f t="shared" si="40"/>
        <v>1</v>
      </c>
    </row>
    <row r="180" spans="14:16" x14ac:dyDescent="0.25">
      <c r="N180" s="25">
        <v>24493967.073341679</v>
      </c>
      <c r="O180" t="str">
        <f t="shared" si="41"/>
        <v>R 22-26</v>
      </c>
      <c r="P180">
        <f t="shared" si="40"/>
        <v>1</v>
      </c>
    </row>
    <row r="181" spans="14:16" x14ac:dyDescent="0.25">
      <c r="N181" s="25">
        <v>7041047.4653851427</v>
      </c>
      <c r="O181" t="str">
        <f t="shared" si="41"/>
        <v>R 3-7</v>
      </c>
      <c r="P181">
        <f t="shared" si="40"/>
        <v>1</v>
      </c>
    </row>
    <row r="182" spans="14:16" x14ac:dyDescent="0.25">
      <c r="N182" s="25">
        <v>9735549.8964340612</v>
      </c>
      <c r="O182" t="str">
        <f t="shared" si="41"/>
        <v>R 7-11</v>
      </c>
      <c r="P182">
        <f t="shared" si="40"/>
        <v>1</v>
      </c>
    </row>
    <row r="183" spans="14:16" x14ac:dyDescent="0.25">
      <c r="N183" s="25">
        <v>33768886.264159717</v>
      </c>
      <c r="O183" t="str">
        <f t="shared" si="41"/>
        <v>R 30-33</v>
      </c>
      <c r="P183">
        <f t="shared" si="40"/>
        <v>1</v>
      </c>
    </row>
    <row r="184" spans="14:16" x14ac:dyDescent="0.25">
      <c r="N184" s="25">
        <v>31742660.310656693</v>
      </c>
      <c r="O184" t="str">
        <f t="shared" si="41"/>
        <v>R 30-33</v>
      </c>
      <c r="P184">
        <f t="shared" si="40"/>
        <v>1</v>
      </c>
    </row>
    <row r="185" spans="14:16" x14ac:dyDescent="0.25">
      <c r="N185" s="25">
        <v>19587684.687550183</v>
      </c>
      <c r="O185" t="str">
        <f t="shared" si="41"/>
        <v>R 18-22</v>
      </c>
      <c r="P185">
        <f t="shared" si="40"/>
        <v>1</v>
      </c>
    </row>
    <row r="186" spans="14:16" x14ac:dyDescent="0.25">
      <c r="N186" s="25">
        <v>59125291.886880994</v>
      </c>
      <c r="O186" t="str">
        <f t="shared" si="41"/>
        <v>R 49-0</v>
      </c>
      <c r="P186">
        <f t="shared" si="40"/>
        <v>1</v>
      </c>
    </row>
    <row r="187" spans="14:16" x14ac:dyDescent="0.25">
      <c r="N187" s="25">
        <v>15090902.058201497</v>
      </c>
      <c r="O187" t="str">
        <f t="shared" si="41"/>
        <v>R 15-18</v>
      </c>
      <c r="P187">
        <f t="shared" si="40"/>
        <v>1</v>
      </c>
    </row>
    <row r="188" spans="14:16" x14ac:dyDescent="0.25">
      <c r="N188" s="25">
        <v>38118118.080350623</v>
      </c>
      <c r="O188" t="str">
        <f t="shared" si="41"/>
        <v>R 37-41</v>
      </c>
      <c r="P188">
        <f t="shared" si="40"/>
        <v>1</v>
      </c>
    </row>
    <row r="189" spans="14:16" x14ac:dyDescent="0.25">
      <c r="N189" s="25">
        <v>25554797.030103672</v>
      </c>
      <c r="O189" t="str">
        <f t="shared" si="41"/>
        <v>R 22-26</v>
      </c>
      <c r="P189">
        <f t="shared" si="40"/>
        <v>1</v>
      </c>
    </row>
    <row r="190" spans="14:16" x14ac:dyDescent="0.25">
      <c r="N190" s="25">
        <v>17775953.182040025</v>
      </c>
      <c r="O190" t="str">
        <f t="shared" si="41"/>
        <v>R 15-18</v>
      </c>
      <c r="P190">
        <f t="shared" si="40"/>
        <v>1</v>
      </c>
    </row>
    <row r="191" spans="14:16" x14ac:dyDescent="0.25">
      <c r="N191" s="25">
        <v>17539506.463269681</v>
      </c>
      <c r="O191" t="str">
        <f t="shared" si="41"/>
        <v>R 15-18</v>
      </c>
      <c r="P191">
        <f t="shared" si="40"/>
        <v>1</v>
      </c>
    </row>
    <row r="192" spans="14:16" x14ac:dyDescent="0.25">
      <c r="N192" s="25">
        <v>17755955.266664576</v>
      </c>
      <c r="O192" t="str">
        <f t="shared" si="41"/>
        <v>R 15-18</v>
      </c>
      <c r="P192">
        <f t="shared" si="40"/>
        <v>1</v>
      </c>
    </row>
    <row r="193" spans="14:16" x14ac:dyDescent="0.25">
      <c r="N193" s="25">
        <v>19944455.383248113</v>
      </c>
      <c r="O193" t="str">
        <f t="shared" si="41"/>
        <v>R 18-22</v>
      </c>
      <c r="P193">
        <f t="shared" si="40"/>
        <v>1</v>
      </c>
    </row>
    <row r="194" spans="14:16" x14ac:dyDescent="0.25">
      <c r="N194" s="25">
        <v>11735938.165460344</v>
      </c>
      <c r="O194" t="str">
        <f t="shared" si="41"/>
        <v>R 11-15</v>
      </c>
      <c r="P194">
        <f t="shared" si="40"/>
        <v>1</v>
      </c>
    </row>
    <row r="195" spans="14:16" x14ac:dyDescent="0.25">
      <c r="N195" s="25">
        <v>99947929.072835356</v>
      </c>
      <c r="O195" t="str">
        <f t="shared" si="41"/>
        <v>R 49-0</v>
      </c>
      <c r="P195">
        <f t="shared" ref="P195:P258" si="42">1*(N195&lt;&gt;0)</f>
        <v>1</v>
      </c>
    </row>
    <row r="196" spans="14:16" x14ac:dyDescent="0.25">
      <c r="N196" s="25">
        <v>31970595.991115503</v>
      </c>
      <c r="O196" t="str">
        <f t="shared" si="41"/>
        <v>R 30-33</v>
      </c>
      <c r="P196">
        <f t="shared" si="42"/>
        <v>1</v>
      </c>
    </row>
    <row r="197" spans="14:16" x14ac:dyDescent="0.25">
      <c r="N197" s="25">
        <v>8400260.7078997921</v>
      </c>
      <c r="O197" t="str">
        <f t="shared" si="41"/>
        <v>R 7-11</v>
      </c>
      <c r="P197">
        <f t="shared" si="42"/>
        <v>1</v>
      </c>
    </row>
    <row r="198" spans="14:16" x14ac:dyDescent="0.25">
      <c r="N198" s="25">
        <v>28417077.106869277</v>
      </c>
      <c r="O198" t="str">
        <f t="shared" si="41"/>
        <v>R 26-30</v>
      </c>
      <c r="P198">
        <f t="shared" si="42"/>
        <v>1</v>
      </c>
    </row>
    <row r="199" spans="14:16" x14ac:dyDescent="0.25">
      <c r="N199" s="25">
        <v>40001203.763985708</v>
      </c>
      <c r="O199" t="str">
        <f t="shared" si="41"/>
        <v>R 37-41</v>
      </c>
      <c r="P199">
        <f t="shared" si="42"/>
        <v>1</v>
      </c>
    </row>
    <row r="200" spans="14:16" x14ac:dyDescent="0.25">
      <c r="N200" s="25">
        <v>20995830.561826147</v>
      </c>
      <c r="O200" t="str">
        <f t="shared" si="41"/>
        <v>R 18-22</v>
      </c>
      <c r="P200">
        <f t="shared" si="42"/>
        <v>1</v>
      </c>
    </row>
    <row r="201" spans="14:16" x14ac:dyDescent="0.25">
      <c r="N201" s="25">
        <v>27462024.375540387</v>
      </c>
      <c r="O201" t="str">
        <f t="shared" si="41"/>
        <v>R 26-30</v>
      </c>
      <c r="P201">
        <f t="shared" si="42"/>
        <v>1</v>
      </c>
    </row>
    <row r="202" spans="14:16" x14ac:dyDescent="0.25">
      <c r="N202" s="25">
        <v>33145871.9660464</v>
      </c>
      <c r="O202" t="str">
        <f t="shared" si="41"/>
        <v>R 30-33</v>
      </c>
      <c r="P202">
        <f t="shared" si="42"/>
        <v>1</v>
      </c>
    </row>
    <row r="203" spans="14:16" x14ac:dyDescent="0.25">
      <c r="N203" s="25">
        <v>6889549.5247923313</v>
      </c>
      <c r="O203" t="str">
        <f t="shared" si="41"/>
        <v>R 3-7</v>
      </c>
      <c r="P203">
        <f t="shared" si="42"/>
        <v>1</v>
      </c>
    </row>
    <row r="204" spans="14:16" x14ac:dyDescent="0.25">
      <c r="N204" s="25">
        <v>26148785.907140076</v>
      </c>
      <c r="O204" t="str">
        <f t="shared" si="41"/>
        <v>R 22-26</v>
      </c>
      <c r="P204">
        <f t="shared" si="42"/>
        <v>1</v>
      </c>
    </row>
    <row r="205" spans="14:16" x14ac:dyDescent="0.25">
      <c r="N205" s="25">
        <v>18161240.579831492</v>
      </c>
      <c r="O205" t="str">
        <f t="shared" si="41"/>
        <v>R 15-18</v>
      </c>
      <c r="P205">
        <f t="shared" si="42"/>
        <v>1</v>
      </c>
    </row>
    <row r="206" spans="14:16" x14ac:dyDescent="0.25">
      <c r="N206" s="25">
        <v>18961607.92803701</v>
      </c>
      <c r="O206" t="str">
        <f t="shared" si="41"/>
        <v>R 18-22</v>
      </c>
      <c r="P206">
        <f t="shared" si="42"/>
        <v>1</v>
      </c>
    </row>
    <row r="207" spans="14:16" x14ac:dyDescent="0.25">
      <c r="N207" s="25">
        <v>14097623.537512966</v>
      </c>
      <c r="O207" t="str">
        <f t="shared" si="41"/>
        <v>R 11-15</v>
      </c>
      <c r="P207">
        <f t="shared" si="42"/>
        <v>1</v>
      </c>
    </row>
    <row r="208" spans="14:16" x14ac:dyDescent="0.25">
      <c r="N208" s="25">
        <v>33656810.170360677</v>
      </c>
      <c r="O208" t="str">
        <f t="shared" si="41"/>
        <v>R 30-33</v>
      </c>
      <c r="P208">
        <f t="shared" si="42"/>
        <v>1</v>
      </c>
    </row>
    <row r="209" spans="14:16" x14ac:dyDescent="0.25">
      <c r="N209" s="25">
        <v>11487018.044517834</v>
      </c>
      <c r="O209" t="str">
        <f t="shared" si="41"/>
        <v>R 11-15</v>
      </c>
      <c r="P209">
        <f t="shared" si="42"/>
        <v>1</v>
      </c>
    </row>
    <row r="210" spans="14:16" x14ac:dyDescent="0.25">
      <c r="N210" s="25">
        <v>21318072.327062588</v>
      </c>
      <c r="O210" t="str">
        <f t="shared" si="41"/>
        <v>R 18-22</v>
      </c>
      <c r="P210">
        <f t="shared" si="42"/>
        <v>1</v>
      </c>
    </row>
    <row r="211" spans="14:16" x14ac:dyDescent="0.25">
      <c r="N211" s="25">
        <v>12635974.008688115</v>
      </c>
      <c r="O211" t="str">
        <f t="shared" si="41"/>
        <v>R 11-15</v>
      </c>
      <c r="P211">
        <f t="shared" si="42"/>
        <v>1</v>
      </c>
    </row>
    <row r="212" spans="14:16" x14ac:dyDescent="0.25">
      <c r="N212" s="25">
        <v>17724706.813996904</v>
      </c>
      <c r="O212" t="str">
        <f t="shared" si="41"/>
        <v>R 15-18</v>
      </c>
      <c r="P212">
        <f t="shared" si="42"/>
        <v>1</v>
      </c>
    </row>
    <row r="213" spans="14:16" x14ac:dyDescent="0.25">
      <c r="N213" s="25">
        <v>26031954.927597418</v>
      </c>
      <c r="O213" t="str">
        <f t="shared" si="41"/>
        <v>R 22-26</v>
      </c>
      <c r="P213">
        <f t="shared" si="42"/>
        <v>1</v>
      </c>
    </row>
    <row r="214" spans="14:16" x14ac:dyDescent="0.25">
      <c r="N214" s="25">
        <v>15910115.03691995</v>
      </c>
      <c r="O214" t="str">
        <f t="shared" si="41"/>
        <v>R 15-18</v>
      </c>
      <c r="P214">
        <f t="shared" si="42"/>
        <v>1</v>
      </c>
    </row>
    <row r="215" spans="14:16" x14ac:dyDescent="0.25">
      <c r="N215" s="25">
        <v>17149156.062263969</v>
      </c>
      <c r="O215" t="str">
        <f t="shared" si="41"/>
        <v>R 15-18</v>
      </c>
      <c r="P215">
        <f t="shared" si="42"/>
        <v>1</v>
      </c>
    </row>
    <row r="216" spans="14:16" x14ac:dyDescent="0.25">
      <c r="N216" s="25">
        <v>18825240.595640112</v>
      </c>
      <c r="O216" t="str">
        <f t="shared" si="41"/>
        <v>R 15-18</v>
      </c>
      <c r="P216">
        <f t="shared" si="42"/>
        <v>1</v>
      </c>
    </row>
    <row r="217" spans="14:16" x14ac:dyDescent="0.25">
      <c r="N217" s="25">
        <v>34121905.571790747</v>
      </c>
      <c r="O217" t="str">
        <f t="shared" si="41"/>
        <v>R 33-37</v>
      </c>
      <c r="P217">
        <f t="shared" si="42"/>
        <v>1</v>
      </c>
    </row>
    <row r="218" spans="14:16" x14ac:dyDescent="0.25">
      <c r="N218" s="25">
        <v>19067430.158818662</v>
      </c>
      <c r="O218" t="str">
        <f t="shared" si="41"/>
        <v>R 18-22</v>
      </c>
      <c r="P218">
        <f t="shared" si="42"/>
        <v>1</v>
      </c>
    </row>
    <row r="219" spans="14:16" x14ac:dyDescent="0.25">
      <c r="N219" s="25">
        <v>27772825.142453343</v>
      </c>
      <c r="O219" t="str">
        <f t="shared" si="41"/>
        <v>R 26-30</v>
      </c>
      <c r="P219">
        <f t="shared" si="42"/>
        <v>1</v>
      </c>
    </row>
    <row r="220" spans="14:16" x14ac:dyDescent="0.25">
      <c r="N220" s="25">
        <v>14368044.08317293</v>
      </c>
      <c r="O220" t="str">
        <f t="shared" si="41"/>
        <v>R 11-15</v>
      </c>
      <c r="P220">
        <f t="shared" si="42"/>
        <v>1</v>
      </c>
    </row>
    <row r="221" spans="14:16" x14ac:dyDescent="0.25">
      <c r="N221" s="25">
        <v>20664445.741302472</v>
      </c>
      <c r="O221" t="str">
        <f t="shared" si="41"/>
        <v>R 18-22</v>
      </c>
      <c r="P221">
        <f t="shared" si="42"/>
        <v>1</v>
      </c>
    </row>
    <row r="222" spans="14:16" x14ac:dyDescent="0.25">
      <c r="N222" s="25">
        <v>11808822.638794506</v>
      </c>
      <c r="O222" t="str">
        <f t="shared" si="41"/>
        <v>R 11-15</v>
      </c>
      <c r="P222">
        <f t="shared" si="42"/>
        <v>1</v>
      </c>
    </row>
    <row r="223" spans="14:16" x14ac:dyDescent="0.25">
      <c r="N223" s="25">
        <v>29892462.256704122</v>
      </c>
      <c r="O223" t="str">
        <f t="shared" si="41"/>
        <v>R 26-30</v>
      </c>
      <c r="P223">
        <f t="shared" si="42"/>
        <v>1</v>
      </c>
    </row>
    <row r="224" spans="14:16" x14ac:dyDescent="0.25">
      <c r="N224" s="25">
        <v>13883046.739246551</v>
      </c>
      <c r="O224" t="str">
        <f t="shared" si="41"/>
        <v>R 11-15</v>
      </c>
      <c r="P224">
        <f t="shared" si="42"/>
        <v>1</v>
      </c>
    </row>
    <row r="225" spans="14:16" x14ac:dyDescent="0.25">
      <c r="N225" s="25">
        <v>14966623.402717819</v>
      </c>
      <c r="O225" t="str">
        <f t="shared" si="41"/>
        <v>R 11-15</v>
      </c>
      <c r="P225">
        <f t="shared" si="42"/>
        <v>1</v>
      </c>
    </row>
    <row r="226" spans="14:16" x14ac:dyDescent="0.25">
      <c r="N226" s="25">
        <v>41742480.111013249</v>
      </c>
      <c r="O226" t="str">
        <f t="shared" si="41"/>
        <v>R 41-45</v>
      </c>
      <c r="P226">
        <f t="shared" si="42"/>
        <v>1</v>
      </c>
    </row>
    <row r="227" spans="14:16" x14ac:dyDescent="0.25">
      <c r="N227" s="25">
        <v>20036564.414332546</v>
      </c>
      <c r="O227" t="str">
        <f t="shared" si="41"/>
        <v>R 18-22</v>
      </c>
      <c r="P227">
        <f t="shared" si="42"/>
        <v>1</v>
      </c>
    </row>
    <row r="228" spans="14:16" x14ac:dyDescent="0.25">
      <c r="N228" s="25">
        <v>19038452.499247443</v>
      </c>
      <c r="O228" t="str">
        <f t="shared" si="41"/>
        <v>R 18-22</v>
      </c>
      <c r="P228">
        <f t="shared" si="42"/>
        <v>1</v>
      </c>
    </row>
    <row r="229" spans="14:16" x14ac:dyDescent="0.25">
      <c r="N229" s="25">
        <v>40531629.912721582</v>
      </c>
      <c r="O229" t="str">
        <f t="shared" si="41"/>
        <v>R 37-41</v>
      </c>
      <c r="P229">
        <f t="shared" si="42"/>
        <v>1</v>
      </c>
    </row>
    <row r="230" spans="14:16" x14ac:dyDescent="0.25">
      <c r="N230" s="25">
        <v>9493013.028071342</v>
      </c>
      <c r="O230" t="str">
        <f t="shared" ref="O230:O293" si="43">VLOOKUP(N230,$R$2:$T$15,3,TRUE)</f>
        <v>R 7-11</v>
      </c>
      <c r="P230">
        <f t="shared" si="42"/>
        <v>1</v>
      </c>
    </row>
    <row r="231" spans="14:16" x14ac:dyDescent="0.25">
      <c r="N231" s="25">
        <v>10758320.017231796</v>
      </c>
      <c r="O231" t="str">
        <f t="shared" si="43"/>
        <v>R 7-11</v>
      </c>
      <c r="P231">
        <f t="shared" si="42"/>
        <v>1</v>
      </c>
    </row>
    <row r="232" spans="14:16" x14ac:dyDescent="0.25">
      <c r="N232" s="25">
        <v>42867904.28378088</v>
      </c>
      <c r="O232" t="str">
        <f t="shared" si="43"/>
        <v>R 41-45</v>
      </c>
      <c r="P232">
        <f t="shared" si="42"/>
        <v>1</v>
      </c>
    </row>
    <row r="233" spans="14:16" x14ac:dyDescent="0.25">
      <c r="N233" s="25">
        <v>16474495.817286329</v>
      </c>
      <c r="O233" t="str">
        <f t="shared" si="43"/>
        <v>R 15-18</v>
      </c>
      <c r="P233">
        <f t="shared" si="42"/>
        <v>1</v>
      </c>
    </row>
    <row r="234" spans="14:16" x14ac:dyDescent="0.25">
      <c r="N234" s="25">
        <v>12521647.279420922</v>
      </c>
      <c r="O234" t="str">
        <f t="shared" si="43"/>
        <v>R 11-15</v>
      </c>
      <c r="P234">
        <f t="shared" si="42"/>
        <v>1</v>
      </c>
    </row>
    <row r="235" spans="14:16" x14ac:dyDescent="0.25">
      <c r="N235" s="25">
        <v>13925426.920967661</v>
      </c>
      <c r="O235" t="str">
        <f t="shared" si="43"/>
        <v>R 11-15</v>
      </c>
      <c r="P235">
        <f t="shared" si="42"/>
        <v>1</v>
      </c>
    </row>
    <row r="236" spans="14:16" x14ac:dyDescent="0.25">
      <c r="N236" s="25">
        <v>19030349.813210268</v>
      </c>
      <c r="O236" t="str">
        <f t="shared" si="43"/>
        <v>R 18-22</v>
      </c>
      <c r="P236">
        <f t="shared" si="42"/>
        <v>1</v>
      </c>
    </row>
    <row r="237" spans="14:16" x14ac:dyDescent="0.25">
      <c r="N237" s="25">
        <v>12946357.632010216</v>
      </c>
      <c r="O237" t="str">
        <f t="shared" si="43"/>
        <v>R 11-15</v>
      </c>
      <c r="P237">
        <f t="shared" si="42"/>
        <v>1</v>
      </c>
    </row>
    <row r="238" spans="14:16" x14ac:dyDescent="0.25">
      <c r="N238" s="25">
        <v>19875910.454336986</v>
      </c>
      <c r="O238" t="str">
        <f t="shared" si="43"/>
        <v>R 18-22</v>
      </c>
      <c r="P238">
        <f t="shared" si="42"/>
        <v>1</v>
      </c>
    </row>
    <row r="239" spans="14:16" x14ac:dyDescent="0.25">
      <c r="N239" s="25">
        <v>17501664.796877418</v>
      </c>
      <c r="O239" t="str">
        <f t="shared" si="43"/>
        <v>R 15-18</v>
      </c>
      <c r="P239">
        <f t="shared" si="42"/>
        <v>1</v>
      </c>
    </row>
    <row r="240" spans="14:16" x14ac:dyDescent="0.25">
      <c r="N240" s="25">
        <v>23685809.455678564</v>
      </c>
      <c r="O240" t="str">
        <f t="shared" si="43"/>
        <v>R 22-26</v>
      </c>
      <c r="P240">
        <f t="shared" si="42"/>
        <v>1</v>
      </c>
    </row>
    <row r="241" spans="14:16" x14ac:dyDescent="0.25">
      <c r="N241" s="25">
        <v>10922800.869787809</v>
      </c>
      <c r="O241" t="str">
        <f t="shared" si="43"/>
        <v>R 7-11</v>
      </c>
      <c r="P241">
        <f t="shared" si="42"/>
        <v>1</v>
      </c>
    </row>
    <row r="242" spans="14:16" x14ac:dyDescent="0.25">
      <c r="N242" s="25">
        <v>19249821.509892438</v>
      </c>
      <c r="O242" t="str">
        <f t="shared" si="43"/>
        <v>R 18-22</v>
      </c>
      <c r="P242">
        <f t="shared" si="42"/>
        <v>1</v>
      </c>
    </row>
    <row r="243" spans="14:16" x14ac:dyDescent="0.25">
      <c r="N243" s="25">
        <v>5272244.3020641841</v>
      </c>
      <c r="O243" t="str">
        <f t="shared" si="43"/>
        <v>R 3-7</v>
      </c>
      <c r="P243">
        <f t="shared" si="42"/>
        <v>1</v>
      </c>
    </row>
    <row r="244" spans="14:16" x14ac:dyDescent="0.25">
      <c r="N244" s="25">
        <v>11643031.634911472</v>
      </c>
      <c r="O244" t="str">
        <f t="shared" si="43"/>
        <v>R 11-15</v>
      </c>
      <c r="P244">
        <f t="shared" si="42"/>
        <v>1</v>
      </c>
    </row>
    <row r="245" spans="14:16" x14ac:dyDescent="0.25">
      <c r="N245" s="25">
        <v>42354844.543207884</v>
      </c>
      <c r="O245" t="str">
        <f t="shared" si="43"/>
        <v>R 41-45</v>
      </c>
      <c r="P245">
        <f t="shared" si="42"/>
        <v>1</v>
      </c>
    </row>
    <row r="246" spans="14:16" x14ac:dyDescent="0.25">
      <c r="N246" s="25">
        <v>17049594.928602781</v>
      </c>
      <c r="O246" t="str">
        <f t="shared" si="43"/>
        <v>R 15-18</v>
      </c>
      <c r="P246">
        <f t="shared" si="42"/>
        <v>1</v>
      </c>
    </row>
    <row r="247" spans="14:16" x14ac:dyDescent="0.25">
      <c r="N247" s="25">
        <v>10293502.325211644</v>
      </c>
      <c r="O247" t="str">
        <f t="shared" si="43"/>
        <v>R 7-11</v>
      </c>
      <c r="P247">
        <f t="shared" si="42"/>
        <v>1</v>
      </c>
    </row>
    <row r="248" spans="14:16" x14ac:dyDescent="0.25">
      <c r="N248" s="25">
        <v>18420583.037741955</v>
      </c>
      <c r="O248" t="str">
        <f t="shared" si="43"/>
        <v>R 15-18</v>
      </c>
      <c r="P248">
        <f t="shared" si="42"/>
        <v>1</v>
      </c>
    </row>
    <row r="249" spans="14:16" x14ac:dyDescent="0.25">
      <c r="N249" s="25">
        <v>13586086.554260641</v>
      </c>
      <c r="O249" t="str">
        <f t="shared" si="43"/>
        <v>R 11-15</v>
      </c>
      <c r="P249">
        <f t="shared" si="42"/>
        <v>1</v>
      </c>
    </row>
    <row r="250" spans="14:16" x14ac:dyDescent="0.25">
      <c r="N250" s="25">
        <v>43994636.694770105</v>
      </c>
      <c r="O250" t="str">
        <f t="shared" si="43"/>
        <v>R 41-45</v>
      </c>
      <c r="P250">
        <f t="shared" si="42"/>
        <v>1</v>
      </c>
    </row>
    <row r="251" spans="14:16" x14ac:dyDescent="0.25">
      <c r="N251" s="25">
        <v>26563815.552901953</v>
      </c>
      <c r="O251" t="str">
        <f t="shared" si="43"/>
        <v>R 26-30</v>
      </c>
      <c r="P251">
        <f t="shared" si="42"/>
        <v>1</v>
      </c>
    </row>
    <row r="252" spans="14:16" x14ac:dyDescent="0.25">
      <c r="N252" s="25">
        <v>17956348.915538255</v>
      </c>
      <c r="O252" t="str">
        <f t="shared" si="43"/>
        <v>R 15-18</v>
      </c>
      <c r="P252">
        <f t="shared" si="42"/>
        <v>1</v>
      </c>
    </row>
    <row r="253" spans="14:16" x14ac:dyDescent="0.25">
      <c r="N253" s="25">
        <v>16902319.889453121</v>
      </c>
      <c r="O253" t="str">
        <f t="shared" si="43"/>
        <v>R 15-18</v>
      </c>
      <c r="P253">
        <f t="shared" si="42"/>
        <v>1</v>
      </c>
    </row>
    <row r="254" spans="14:16" x14ac:dyDescent="0.25">
      <c r="N254" s="25">
        <v>33751951.233103059</v>
      </c>
      <c r="O254" t="str">
        <f t="shared" si="43"/>
        <v>R 30-33</v>
      </c>
      <c r="P254">
        <f t="shared" si="42"/>
        <v>1</v>
      </c>
    </row>
    <row r="255" spans="14:16" x14ac:dyDescent="0.25">
      <c r="N255" s="25">
        <v>19340104.429976951</v>
      </c>
      <c r="O255" t="str">
        <f t="shared" si="43"/>
        <v>R 18-22</v>
      </c>
      <c r="P255">
        <f t="shared" si="42"/>
        <v>1</v>
      </c>
    </row>
    <row r="256" spans="14:16" x14ac:dyDescent="0.25">
      <c r="N256" s="25">
        <v>18547429.57406994</v>
      </c>
      <c r="O256" t="str">
        <f t="shared" si="43"/>
        <v>R 15-18</v>
      </c>
      <c r="P256">
        <f t="shared" si="42"/>
        <v>1</v>
      </c>
    </row>
    <row r="257" spans="14:16" x14ac:dyDescent="0.25">
      <c r="N257" s="25">
        <v>19110054.240887254</v>
      </c>
      <c r="O257" t="str">
        <f t="shared" si="43"/>
        <v>R 18-22</v>
      </c>
      <c r="P257">
        <f t="shared" si="42"/>
        <v>1</v>
      </c>
    </row>
    <row r="258" spans="14:16" x14ac:dyDescent="0.25">
      <c r="N258" s="25">
        <v>21274774.248681497</v>
      </c>
      <c r="O258" t="str">
        <f t="shared" si="43"/>
        <v>R 18-22</v>
      </c>
      <c r="P258">
        <f t="shared" si="42"/>
        <v>1</v>
      </c>
    </row>
    <row r="259" spans="14:16" x14ac:dyDescent="0.25">
      <c r="N259" s="25">
        <v>12787838.946031913</v>
      </c>
      <c r="O259" t="str">
        <f t="shared" si="43"/>
        <v>R 11-15</v>
      </c>
      <c r="P259">
        <f t="shared" ref="P259:P322" si="44">1*(N259&lt;&gt;0)</f>
        <v>1</v>
      </c>
    </row>
    <row r="260" spans="14:16" x14ac:dyDescent="0.25">
      <c r="N260" s="25">
        <v>31179096.05647213</v>
      </c>
      <c r="O260" t="str">
        <f t="shared" si="43"/>
        <v>R 30-33</v>
      </c>
      <c r="P260">
        <f t="shared" si="44"/>
        <v>1</v>
      </c>
    </row>
    <row r="261" spans="14:16" x14ac:dyDescent="0.25">
      <c r="N261" s="25">
        <v>24308604.745654855</v>
      </c>
      <c r="O261" t="str">
        <f t="shared" si="43"/>
        <v>R 22-26</v>
      </c>
      <c r="P261">
        <f t="shared" si="44"/>
        <v>1</v>
      </c>
    </row>
    <row r="262" spans="14:16" x14ac:dyDescent="0.25">
      <c r="N262" s="25">
        <v>9598452.9257764891</v>
      </c>
      <c r="O262" t="str">
        <f t="shared" si="43"/>
        <v>R 7-11</v>
      </c>
      <c r="P262">
        <f t="shared" si="44"/>
        <v>1</v>
      </c>
    </row>
    <row r="263" spans="14:16" x14ac:dyDescent="0.25">
      <c r="N263" s="25">
        <v>18143303.223764725</v>
      </c>
      <c r="O263" t="str">
        <f t="shared" si="43"/>
        <v>R 15-18</v>
      </c>
      <c r="P263">
        <f t="shared" si="44"/>
        <v>1</v>
      </c>
    </row>
    <row r="264" spans="14:16" x14ac:dyDescent="0.25">
      <c r="N264" s="25">
        <v>18733334.908216134</v>
      </c>
      <c r="O264" t="str">
        <f t="shared" si="43"/>
        <v>R 15-18</v>
      </c>
      <c r="P264">
        <f t="shared" si="44"/>
        <v>1</v>
      </c>
    </row>
    <row r="265" spans="14:16" x14ac:dyDescent="0.25">
      <c r="N265" s="25">
        <v>78634526.101064116</v>
      </c>
      <c r="O265" t="str">
        <f t="shared" si="43"/>
        <v>R 49-0</v>
      </c>
      <c r="P265">
        <f t="shared" si="44"/>
        <v>1</v>
      </c>
    </row>
    <row r="266" spans="14:16" x14ac:dyDescent="0.25">
      <c r="N266" s="25">
        <v>16540475.513065275</v>
      </c>
      <c r="O266" t="str">
        <f t="shared" si="43"/>
        <v>R 15-18</v>
      </c>
      <c r="P266">
        <f t="shared" si="44"/>
        <v>1</v>
      </c>
    </row>
    <row r="267" spans="14:16" x14ac:dyDescent="0.25">
      <c r="N267" s="25">
        <v>8286775.0048636515</v>
      </c>
      <c r="O267" t="str">
        <f t="shared" si="43"/>
        <v>R 7-11</v>
      </c>
      <c r="P267">
        <f t="shared" si="44"/>
        <v>1</v>
      </c>
    </row>
    <row r="268" spans="14:16" x14ac:dyDescent="0.25">
      <c r="N268" s="25">
        <v>54759002.761201538</v>
      </c>
      <c r="O268" t="str">
        <f t="shared" si="43"/>
        <v>R 49-0</v>
      </c>
      <c r="P268">
        <f t="shared" si="44"/>
        <v>1</v>
      </c>
    </row>
    <row r="269" spans="14:16" x14ac:dyDescent="0.25">
      <c r="N269" s="25">
        <v>26664258.339304198</v>
      </c>
      <c r="O269" t="str">
        <f t="shared" si="43"/>
        <v>R 26-30</v>
      </c>
      <c r="P269">
        <f t="shared" si="44"/>
        <v>1</v>
      </c>
    </row>
    <row r="270" spans="14:16" x14ac:dyDescent="0.25">
      <c r="N270" s="25">
        <v>29445266.133526813</v>
      </c>
      <c r="O270" t="str">
        <f t="shared" si="43"/>
        <v>R 26-30</v>
      </c>
      <c r="P270">
        <f t="shared" si="44"/>
        <v>1</v>
      </c>
    </row>
    <row r="271" spans="14:16" x14ac:dyDescent="0.25">
      <c r="N271" s="25">
        <v>26547943.999764442</v>
      </c>
      <c r="O271" t="str">
        <f t="shared" si="43"/>
        <v>R 26-30</v>
      </c>
      <c r="P271">
        <f t="shared" si="44"/>
        <v>1</v>
      </c>
    </row>
    <row r="272" spans="14:16" x14ac:dyDescent="0.25">
      <c r="N272" s="25">
        <v>9696182.7815661654</v>
      </c>
      <c r="O272" t="str">
        <f t="shared" si="43"/>
        <v>R 7-11</v>
      </c>
      <c r="P272">
        <f t="shared" si="44"/>
        <v>1</v>
      </c>
    </row>
    <row r="273" spans="14:16" x14ac:dyDescent="0.25">
      <c r="N273" s="25">
        <v>48463667.858056702</v>
      </c>
      <c r="O273" t="str">
        <f t="shared" si="43"/>
        <v>R 45-49</v>
      </c>
      <c r="P273">
        <f t="shared" si="44"/>
        <v>1</v>
      </c>
    </row>
    <row r="274" spans="14:16" x14ac:dyDescent="0.25">
      <c r="N274" s="25">
        <v>10278992.102866028</v>
      </c>
      <c r="O274" t="str">
        <f t="shared" si="43"/>
        <v>R 7-11</v>
      </c>
      <c r="P274">
        <f t="shared" si="44"/>
        <v>1</v>
      </c>
    </row>
    <row r="275" spans="14:16" x14ac:dyDescent="0.25">
      <c r="N275" s="25">
        <v>7434466.972104352</v>
      </c>
      <c r="O275" t="str">
        <f t="shared" si="43"/>
        <v>R 3-7</v>
      </c>
      <c r="P275">
        <f t="shared" si="44"/>
        <v>1</v>
      </c>
    </row>
    <row r="276" spans="14:16" x14ac:dyDescent="0.25">
      <c r="N276" s="25">
        <v>11302983.691886678</v>
      </c>
      <c r="O276" t="str">
        <f t="shared" si="43"/>
        <v>R 7-11</v>
      </c>
      <c r="P276">
        <f t="shared" si="44"/>
        <v>1</v>
      </c>
    </row>
    <row r="277" spans="14:16" x14ac:dyDescent="0.25">
      <c r="N277" s="25">
        <v>21323178.562300649</v>
      </c>
      <c r="O277" t="str">
        <f t="shared" si="43"/>
        <v>R 18-22</v>
      </c>
      <c r="P277">
        <f t="shared" si="44"/>
        <v>1</v>
      </c>
    </row>
    <row r="278" spans="14:16" x14ac:dyDescent="0.25">
      <c r="N278" s="25">
        <v>26398330.717232946</v>
      </c>
      <c r="O278" t="str">
        <f t="shared" si="43"/>
        <v>R 22-26</v>
      </c>
      <c r="P278">
        <f t="shared" si="44"/>
        <v>1</v>
      </c>
    </row>
    <row r="279" spans="14:16" x14ac:dyDescent="0.25">
      <c r="N279" s="25">
        <v>29158837.977896176</v>
      </c>
      <c r="O279" t="str">
        <f t="shared" si="43"/>
        <v>R 26-30</v>
      </c>
      <c r="P279">
        <f t="shared" si="44"/>
        <v>1</v>
      </c>
    </row>
    <row r="280" spans="14:16" x14ac:dyDescent="0.25">
      <c r="N280" s="25">
        <v>12725406.81491057</v>
      </c>
      <c r="O280" t="str">
        <f t="shared" si="43"/>
        <v>R 11-15</v>
      </c>
      <c r="P280">
        <f t="shared" si="44"/>
        <v>1</v>
      </c>
    </row>
    <row r="281" spans="14:16" x14ac:dyDescent="0.25">
      <c r="N281" s="25">
        <v>14922502.153481621</v>
      </c>
      <c r="O281" t="str">
        <f t="shared" si="43"/>
        <v>R 11-15</v>
      </c>
      <c r="P281">
        <f t="shared" si="44"/>
        <v>1</v>
      </c>
    </row>
    <row r="282" spans="14:16" x14ac:dyDescent="0.25">
      <c r="N282" s="25">
        <v>16882426.919923775</v>
      </c>
      <c r="O282" t="str">
        <f t="shared" si="43"/>
        <v>R 15-18</v>
      </c>
      <c r="P282">
        <f t="shared" si="44"/>
        <v>1</v>
      </c>
    </row>
    <row r="283" spans="14:16" x14ac:dyDescent="0.25">
      <c r="N283" s="25">
        <v>39001339.416403189</v>
      </c>
      <c r="O283" t="str">
        <f t="shared" si="43"/>
        <v>R 37-41</v>
      </c>
      <c r="P283">
        <f t="shared" si="44"/>
        <v>1</v>
      </c>
    </row>
    <row r="284" spans="14:16" x14ac:dyDescent="0.25">
      <c r="N284" s="25">
        <v>12600776.598299989</v>
      </c>
      <c r="O284" t="str">
        <f t="shared" si="43"/>
        <v>R 11-15</v>
      </c>
      <c r="P284">
        <f t="shared" si="44"/>
        <v>1</v>
      </c>
    </row>
    <row r="285" spans="14:16" x14ac:dyDescent="0.25">
      <c r="N285" s="25">
        <v>16686870.872836893</v>
      </c>
      <c r="O285" t="str">
        <f t="shared" si="43"/>
        <v>R 15-18</v>
      </c>
      <c r="P285">
        <f t="shared" si="44"/>
        <v>1</v>
      </c>
    </row>
    <row r="286" spans="14:16" x14ac:dyDescent="0.25">
      <c r="N286" s="25">
        <v>8614995.0756616872</v>
      </c>
      <c r="O286" t="str">
        <f t="shared" si="43"/>
        <v>R 7-11</v>
      </c>
      <c r="P286">
        <f t="shared" si="44"/>
        <v>1</v>
      </c>
    </row>
    <row r="287" spans="14:16" x14ac:dyDescent="0.25">
      <c r="N287" s="25">
        <v>65328045.951282293</v>
      </c>
      <c r="O287" t="str">
        <f t="shared" si="43"/>
        <v>R 49-0</v>
      </c>
      <c r="P287">
        <f t="shared" si="44"/>
        <v>1</v>
      </c>
    </row>
    <row r="288" spans="14:16" x14ac:dyDescent="0.25">
      <c r="N288" s="25">
        <v>17256342.954045951</v>
      </c>
      <c r="O288" t="str">
        <f t="shared" si="43"/>
        <v>R 15-18</v>
      </c>
      <c r="P288">
        <f t="shared" si="44"/>
        <v>1</v>
      </c>
    </row>
    <row r="289" spans="14:16" x14ac:dyDescent="0.25">
      <c r="N289" s="25">
        <v>35830666.152576126</v>
      </c>
      <c r="O289" t="str">
        <f t="shared" si="43"/>
        <v>R 33-37</v>
      </c>
      <c r="P289">
        <f t="shared" si="44"/>
        <v>1</v>
      </c>
    </row>
    <row r="290" spans="14:16" x14ac:dyDescent="0.25">
      <c r="N290" s="25">
        <v>23301075.396467481</v>
      </c>
      <c r="O290" t="str">
        <f t="shared" si="43"/>
        <v>R 22-26</v>
      </c>
      <c r="P290">
        <f t="shared" si="44"/>
        <v>1</v>
      </c>
    </row>
    <row r="291" spans="14:16" x14ac:dyDescent="0.25">
      <c r="N291" s="25">
        <v>48211695.696330845</v>
      </c>
      <c r="O291" t="str">
        <f t="shared" si="43"/>
        <v>R 45-49</v>
      </c>
      <c r="P291">
        <f t="shared" si="44"/>
        <v>1</v>
      </c>
    </row>
    <row r="292" spans="14:16" x14ac:dyDescent="0.25">
      <c r="N292" s="25">
        <v>40237271.747552373</v>
      </c>
      <c r="O292" t="str">
        <f t="shared" si="43"/>
        <v>R 37-41</v>
      </c>
      <c r="P292">
        <f t="shared" si="44"/>
        <v>1</v>
      </c>
    </row>
    <row r="293" spans="14:16" x14ac:dyDescent="0.25">
      <c r="N293" s="25">
        <v>7175295.8524488164</v>
      </c>
      <c r="O293" t="str">
        <f t="shared" si="43"/>
        <v>R 3-7</v>
      </c>
      <c r="P293">
        <f t="shared" si="44"/>
        <v>1</v>
      </c>
    </row>
    <row r="294" spans="14:16" x14ac:dyDescent="0.25">
      <c r="N294" s="25">
        <v>10428325.680545013</v>
      </c>
      <c r="O294" t="str">
        <f t="shared" ref="O294:O357" si="45">VLOOKUP(N294,$R$2:$T$15,3,TRUE)</f>
        <v>R 7-11</v>
      </c>
      <c r="P294">
        <f t="shared" si="44"/>
        <v>1</v>
      </c>
    </row>
    <row r="295" spans="14:16" x14ac:dyDescent="0.25">
      <c r="N295" s="25">
        <v>7107855.5709867608</v>
      </c>
      <c r="O295" t="str">
        <f t="shared" si="45"/>
        <v>R 3-7</v>
      </c>
      <c r="P295">
        <f t="shared" si="44"/>
        <v>1</v>
      </c>
    </row>
    <row r="296" spans="14:16" x14ac:dyDescent="0.25">
      <c r="N296" s="25">
        <v>33749656.7294567</v>
      </c>
      <c r="O296" t="str">
        <f t="shared" si="45"/>
        <v>R 30-33</v>
      </c>
      <c r="P296">
        <f t="shared" si="44"/>
        <v>1</v>
      </c>
    </row>
    <row r="297" spans="14:16" x14ac:dyDescent="0.25">
      <c r="N297" s="25">
        <v>25952662.207328357</v>
      </c>
      <c r="O297" t="str">
        <f t="shared" si="45"/>
        <v>R 22-26</v>
      </c>
      <c r="P297">
        <f t="shared" si="44"/>
        <v>1</v>
      </c>
    </row>
    <row r="298" spans="14:16" x14ac:dyDescent="0.25">
      <c r="N298" s="25">
        <v>34001803.685550436</v>
      </c>
      <c r="O298" t="str">
        <f t="shared" si="45"/>
        <v>R 33-37</v>
      </c>
      <c r="P298">
        <f t="shared" si="44"/>
        <v>1</v>
      </c>
    </row>
    <row r="299" spans="14:16" x14ac:dyDescent="0.25">
      <c r="N299" s="25">
        <v>14991803.906312576</v>
      </c>
      <c r="O299" t="str">
        <f t="shared" si="45"/>
        <v>R 11-15</v>
      </c>
      <c r="P299">
        <f t="shared" si="44"/>
        <v>1</v>
      </c>
    </row>
    <row r="300" spans="14:16" x14ac:dyDescent="0.25">
      <c r="N300" s="25">
        <v>8707832.8156723008</v>
      </c>
      <c r="O300" t="str">
        <f t="shared" si="45"/>
        <v>R 7-11</v>
      </c>
      <c r="P300">
        <f t="shared" si="44"/>
        <v>1</v>
      </c>
    </row>
    <row r="301" spans="14:16" x14ac:dyDescent="0.25">
      <c r="N301" s="25">
        <v>23801222.920977607</v>
      </c>
      <c r="O301" t="str">
        <f t="shared" si="45"/>
        <v>R 22-26</v>
      </c>
      <c r="P301">
        <f t="shared" si="44"/>
        <v>1</v>
      </c>
    </row>
    <row r="302" spans="14:16" x14ac:dyDescent="0.25">
      <c r="N302" s="25"/>
      <c r="O302" t="str">
        <f t="shared" si="45"/>
        <v>R 0-3</v>
      </c>
      <c r="P302">
        <f t="shared" si="44"/>
        <v>0</v>
      </c>
    </row>
    <row r="303" spans="14:16" x14ac:dyDescent="0.25">
      <c r="N303" s="25"/>
      <c r="O303" t="str">
        <f t="shared" si="45"/>
        <v>R 0-3</v>
      </c>
      <c r="P303">
        <f t="shared" si="44"/>
        <v>0</v>
      </c>
    </row>
    <row r="304" spans="14:16" x14ac:dyDescent="0.25">
      <c r="N304" s="25"/>
      <c r="O304" t="str">
        <f t="shared" si="45"/>
        <v>R 0-3</v>
      </c>
      <c r="P304">
        <f t="shared" si="44"/>
        <v>0</v>
      </c>
    </row>
    <row r="305" spans="14:16" x14ac:dyDescent="0.25">
      <c r="N305" s="25"/>
      <c r="O305" t="str">
        <f t="shared" si="45"/>
        <v>R 0-3</v>
      </c>
      <c r="P305">
        <f t="shared" si="44"/>
        <v>0</v>
      </c>
    </row>
    <row r="306" spans="14:16" x14ac:dyDescent="0.25">
      <c r="N306" s="25"/>
      <c r="O306" t="str">
        <f t="shared" si="45"/>
        <v>R 0-3</v>
      </c>
      <c r="P306">
        <f t="shared" si="44"/>
        <v>0</v>
      </c>
    </row>
    <row r="307" spans="14:16" x14ac:dyDescent="0.25">
      <c r="N307" s="26"/>
      <c r="O307" t="str">
        <f t="shared" si="45"/>
        <v>R 0-3</v>
      </c>
      <c r="P307">
        <f t="shared" si="44"/>
        <v>0</v>
      </c>
    </row>
    <row r="308" spans="14:16" x14ac:dyDescent="0.25">
      <c r="N308" s="25"/>
      <c r="O308" t="str">
        <f t="shared" si="45"/>
        <v>R 0-3</v>
      </c>
      <c r="P308">
        <f t="shared" si="44"/>
        <v>0</v>
      </c>
    </row>
    <row r="309" spans="14:16" x14ac:dyDescent="0.25">
      <c r="N309" s="25"/>
      <c r="O309" t="str">
        <f t="shared" si="45"/>
        <v>R 0-3</v>
      </c>
      <c r="P309">
        <f t="shared" si="44"/>
        <v>0</v>
      </c>
    </row>
    <row r="310" spans="14:16" x14ac:dyDescent="0.25">
      <c r="N310" s="25"/>
      <c r="O310" t="str">
        <f t="shared" si="45"/>
        <v>R 0-3</v>
      </c>
      <c r="P310">
        <f t="shared" si="44"/>
        <v>0</v>
      </c>
    </row>
    <row r="311" spans="14:16" x14ac:dyDescent="0.25">
      <c r="N311" s="25"/>
      <c r="O311" t="str">
        <f t="shared" si="45"/>
        <v>R 0-3</v>
      </c>
      <c r="P311">
        <f t="shared" si="44"/>
        <v>0</v>
      </c>
    </row>
    <row r="312" spans="14:16" x14ac:dyDescent="0.25">
      <c r="N312" s="25"/>
      <c r="O312" t="str">
        <f t="shared" si="45"/>
        <v>R 0-3</v>
      </c>
      <c r="P312">
        <f t="shared" si="44"/>
        <v>0</v>
      </c>
    </row>
    <row r="313" spans="14:16" x14ac:dyDescent="0.25">
      <c r="N313" s="25"/>
      <c r="O313" t="str">
        <f t="shared" si="45"/>
        <v>R 0-3</v>
      </c>
      <c r="P313">
        <f t="shared" si="44"/>
        <v>0</v>
      </c>
    </row>
    <row r="314" spans="14:16" x14ac:dyDescent="0.25">
      <c r="N314" s="25"/>
      <c r="O314" t="str">
        <f t="shared" si="45"/>
        <v>R 0-3</v>
      </c>
      <c r="P314">
        <f t="shared" si="44"/>
        <v>0</v>
      </c>
    </row>
    <row r="315" spans="14:16" x14ac:dyDescent="0.25">
      <c r="N315" s="25"/>
      <c r="O315" t="str">
        <f t="shared" si="45"/>
        <v>R 0-3</v>
      </c>
      <c r="P315">
        <f t="shared" si="44"/>
        <v>0</v>
      </c>
    </row>
    <row r="316" spans="14:16" x14ac:dyDescent="0.25">
      <c r="N316" s="25"/>
      <c r="O316" t="str">
        <f t="shared" si="45"/>
        <v>R 0-3</v>
      </c>
      <c r="P316">
        <f t="shared" si="44"/>
        <v>0</v>
      </c>
    </row>
    <row r="317" spans="14:16" x14ac:dyDescent="0.25">
      <c r="N317" s="25"/>
      <c r="O317" t="str">
        <f t="shared" si="45"/>
        <v>R 0-3</v>
      </c>
      <c r="P317">
        <f t="shared" si="44"/>
        <v>0</v>
      </c>
    </row>
    <row r="318" spans="14:16" x14ac:dyDescent="0.25">
      <c r="N318" s="25"/>
      <c r="O318" t="str">
        <f t="shared" si="45"/>
        <v>R 0-3</v>
      </c>
      <c r="P318">
        <f t="shared" si="44"/>
        <v>0</v>
      </c>
    </row>
    <row r="319" spans="14:16" x14ac:dyDescent="0.25">
      <c r="N319" s="25"/>
      <c r="O319" t="str">
        <f t="shared" si="45"/>
        <v>R 0-3</v>
      </c>
      <c r="P319">
        <f t="shared" si="44"/>
        <v>0</v>
      </c>
    </row>
    <row r="320" spans="14:16" x14ac:dyDescent="0.25">
      <c r="N320" s="25"/>
      <c r="O320" t="str">
        <f t="shared" si="45"/>
        <v>R 0-3</v>
      </c>
      <c r="P320">
        <f t="shared" si="44"/>
        <v>0</v>
      </c>
    </row>
    <row r="321" spans="14:16" x14ac:dyDescent="0.25">
      <c r="N321" s="25"/>
      <c r="O321" t="str">
        <f t="shared" si="45"/>
        <v>R 0-3</v>
      </c>
      <c r="P321">
        <f t="shared" si="44"/>
        <v>0</v>
      </c>
    </row>
    <row r="322" spans="14:16" x14ac:dyDescent="0.25">
      <c r="N322" s="25"/>
      <c r="O322" t="str">
        <f t="shared" si="45"/>
        <v>R 0-3</v>
      </c>
      <c r="P322">
        <f t="shared" si="44"/>
        <v>0</v>
      </c>
    </row>
    <row r="323" spans="14:16" x14ac:dyDescent="0.25">
      <c r="N323" s="25"/>
      <c r="O323" t="str">
        <f t="shared" si="45"/>
        <v>R 0-3</v>
      </c>
      <c r="P323">
        <f t="shared" ref="P323:P386" si="46">1*(N323&lt;&gt;0)</f>
        <v>0</v>
      </c>
    </row>
    <row r="324" spans="14:16" x14ac:dyDescent="0.25">
      <c r="N324" s="25"/>
      <c r="O324" t="str">
        <f t="shared" si="45"/>
        <v>R 0-3</v>
      </c>
      <c r="P324">
        <f t="shared" si="46"/>
        <v>0</v>
      </c>
    </row>
    <row r="325" spans="14:16" x14ac:dyDescent="0.25">
      <c r="N325" s="25"/>
      <c r="O325" t="str">
        <f t="shared" si="45"/>
        <v>R 0-3</v>
      </c>
      <c r="P325">
        <f t="shared" si="46"/>
        <v>0</v>
      </c>
    </row>
    <row r="326" spans="14:16" x14ac:dyDescent="0.25">
      <c r="N326" s="25"/>
      <c r="O326" t="str">
        <f t="shared" si="45"/>
        <v>R 0-3</v>
      </c>
      <c r="P326">
        <f t="shared" si="46"/>
        <v>0</v>
      </c>
    </row>
    <row r="327" spans="14:16" x14ac:dyDescent="0.25">
      <c r="N327" s="25"/>
      <c r="O327" t="str">
        <f t="shared" si="45"/>
        <v>R 0-3</v>
      </c>
      <c r="P327">
        <f t="shared" si="46"/>
        <v>0</v>
      </c>
    </row>
    <row r="328" spans="14:16" x14ac:dyDescent="0.25">
      <c r="N328" s="25"/>
      <c r="O328" t="str">
        <f t="shared" si="45"/>
        <v>R 0-3</v>
      </c>
      <c r="P328">
        <f t="shared" si="46"/>
        <v>0</v>
      </c>
    </row>
    <row r="329" spans="14:16" x14ac:dyDescent="0.25">
      <c r="N329" s="25"/>
      <c r="O329" t="str">
        <f t="shared" si="45"/>
        <v>R 0-3</v>
      </c>
      <c r="P329">
        <f t="shared" si="46"/>
        <v>0</v>
      </c>
    </row>
    <row r="330" spans="14:16" x14ac:dyDescent="0.25">
      <c r="N330" s="25"/>
      <c r="O330" t="str">
        <f t="shared" si="45"/>
        <v>R 0-3</v>
      </c>
      <c r="P330">
        <f t="shared" si="46"/>
        <v>0</v>
      </c>
    </row>
    <row r="331" spans="14:16" x14ac:dyDescent="0.25">
      <c r="N331" s="25"/>
      <c r="O331" t="str">
        <f t="shared" si="45"/>
        <v>R 0-3</v>
      </c>
      <c r="P331">
        <f t="shared" si="46"/>
        <v>0</v>
      </c>
    </row>
    <row r="332" spans="14:16" x14ac:dyDescent="0.25">
      <c r="N332" s="25"/>
      <c r="O332" t="str">
        <f t="shared" si="45"/>
        <v>R 0-3</v>
      </c>
      <c r="P332">
        <f t="shared" si="46"/>
        <v>0</v>
      </c>
    </row>
    <row r="333" spans="14:16" x14ac:dyDescent="0.25">
      <c r="N333" s="25"/>
      <c r="O333" t="str">
        <f t="shared" si="45"/>
        <v>R 0-3</v>
      </c>
      <c r="P333">
        <f t="shared" si="46"/>
        <v>0</v>
      </c>
    </row>
    <row r="334" spans="14:16" x14ac:dyDescent="0.25">
      <c r="N334" s="25"/>
      <c r="O334" t="str">
        <f t="shared" si="45"/>
        <v>R 0-3</v>
      </c>
      <c r="P334">
        <f t="shared" si="46"/>
        <v>0</v>
      </c>
    </row>
    <row r="335" spans="14:16" x14ac:dyDescent="0.25">
      <c r="N335" s="25"/>
      <c r="O335" t="str">
        <f t="shared" si="45"/>
        <v>R 0-3</v>
      </c>
      <c r="P335">
        <f t="shared" si="46"/>
        <v>0</v>
      </c>
    </row>
    <row r="336" spans="14:16" x14ac:dyDescent="0.25">
      <c r="N336" s="25"/>
      <c r="O336" t="str">
        <f t="shared" si="45"/>
        <v>R 0-3</v>
      </c>
      <c r="P336">
        <f t="shared" si="46"/>
        <v>0</v>
      </c>
    </row>
    <row r="337" spans="14:16" x14ac:dyDescent="0.25">
      <c r="N337" s="25"/>
      <c r="O337" t="str">
        <f t="shared" si="45"/>
        <v>R 0-3</v>
      </c>
      <c r="P337">
        <f t="shared" si="46"/>
        <v>0</v>
      </c>
    </row>
    <row r="338" spans="14:16" x14ac:dyDescent="0.25">
      <c r="N338" s="25"/>
      <c r="O338" t="str">
        <f t="shared" si="45"/>
        <v>R 0-3</v>
      </c>
      <c r="P338">
        <f t="shared" si="46"/>
        <v>0</v>
      </c>
    </row>
    <row r="339" spans="14:16" x14ac:dyDescent="0.25">
      <c r="N339" s="25"/>
      <c r="O339" t="str">
        <f t="shared" si="45"/>
        <v>R 0-3</v>
      </c>
      <c r="P339">
        <f t="shared" si="46"/>
        <v>0</v>
      </c>
    </row>
    <row r="340" spans="14:16" x14ac:dyDescent="0.25">
      <c r="N340" s="25"/>
      <c r="O340" t="str">
        <f t="shared" si="45"/>
        <v>R 0-3</v>
      </c>
      <c r="P340">
        <f t="shared" si="46"/>
        <v>0</v>
      </c>
    </row>
    <row r="341" spans="14:16" x14ac:dyDescent="0.25">
      <c r="N341" s="25"/>
      <c r="O341" t="str">
        <f t="shared" si="45"/>
        <v>R 0-3</v>
      </c>
      <c r="P341">
        <f t="shared" si="46"/>
        <v>0</v>
      </c>
    </row>
    <row r="342" spans="14:16" x14ac:dyDescent="0.25">
      <c r="N342" s="25"/>
      <c r="O342" t="str">
        <f t="shared" si="45"/>
        <v>R 0-3</v>
      </c>
      <c r="P342">
        <f t="shared" si="46"/>
        <v>0</v>
      </c>
    </row>
    <row r="343" spans="14:16" x14ac:dyDescent="0.25">
      <c r="N343" s="25"/>
      <c r="O343" t="str">
        <f t="shared" si="45"/>
        <v>R 0-3</v>
      </c>
      <c r="P343">
        <f t="shared" si="46"/>
        <v>0</v>
      </c>
    </row>
    <row r="344" spans="14:16" x14ac:dyDescent="0.25">
      <c r="N344" s="25"/>
      <c r="O344" t="str">
        <f t="shared" si="45"/>
        <v>R 0-3</v>
      </c>
      <c r="P344">
        <f t="shared" si="46"/>
        <v>0</v>
      </c>
    </row>
    <row r="345" spans="14:16" x14ac:dyDescent="0.25">
      <c r="N345" s="25"/>
      <c r="O345" t="str">
        <f t="shared" si="45"/>
        <v>R 0-3</v>
      </c>
      <c r="P345">
        <f t="shared" si="46"/>
        <v>0</v>
      </c>
    </row>
    <row r="346" spans="14:16" x14ac:dyDescent="0.25">
      <c r="N346" s="25"/>
      <c r="O346" t="str">
        <f t="shared" si="45"/>
        <v>R 0-3</v>
      </c>
      <c r="P346">
        <f t="shared" si="46"/>
        <v>0</v>
      </c>
    </row>
    <row r="347" spans="14:16" x14ac:dyDescent="0.25">
      <c r="N347" s="25"/>
      <c r="O347" t="str">
        <f t="shared" si="45"/>
        <v>R 0-3</v>
      </c>
      <c r="P347">
        <f t="shared" si="46"/>
        <v>0</v>
      </c>
    </row>
    <row r="348" spans="14:16" x14ac:dyDescent="0.25">
      <c r="N348" s="25"/>
      <c r="O348" t="str">
        <f t="shared" si="45"/>
        <v>R 0-3</v>
      </c>
      <c r="P348">
        <f t="shared" si="46"/>
        <v>0</v>
      </c>
    </row>
    <row r="349" spans="14:16" x14ac:dyDescent="0.25">
      <c r="N349" s="25"/>
      <c r="O349" t="str">
        <f t="shared" si="45"/>
        <v>R 0-3</v>
      </c>
      <c r="P349">
        <f t="shared" si="46"/>
        <v>0</v>
      </c>
    </row>
    <row r="350" spans="14:16" x14ac:dyDescent="0.25">
      <c r="N350" s="25"/>
      <c r="O350" t="str">
        <f t="shared" si="45"/>
        <v>R 0-3</v>
      </c>
      <c r="P350">
        <f t="shared" si="46"/>
        <v>0</v>
      </c>
    </row>
    <row r="351" spans="14:16" x14ac:dyDescent="0.25">
      <c r="N351" s="25"/>
      <c r="O351" t="str">
        <f t="shared" si="45"/>
        <v>R 0-3</v>
      </c>
      <c r="P351">
        <f t="shared" si="46"/>
        <v>0</v>
      </c>
    </row>
    <row r="352" spans="14:16" x14ac:dyDescent="0.25">
      <c r="N352" s="25"/>
      <c r="O352" t="str">
        <f t="shared" si="45"/>
        <v>R 0-3</v>
      </c>
      <c r="P352">
        <f t="shared" si="46"/>
        <v>0</v>
      </c>
    </row>
    <row r="353" spans="14:16" x14ac:dyDescent="0.25">
      <c r="N353" s="25"/>
      <c r="O353" t="str">
        <f t="shared" si="45"/>
        <v>R 0-3</v>
      </c>
      <c r="P353">
        <f t="shared" si="46"/>
        <v>0</v>
      </c>
    </row>
    <row r="354" spans="14:16" x14ac:dyDescent="0.25">
      <c r="N354" s="25"/>
      <c r="O354" t="str">
        <f t="shared" si="45"/>
        <v>R 0-3</v>
      </c>
      <c r="P354">
        <f t="shared" si="46"/>
        <v>0</v>
      </c>
    </row>
    <row r="355" spans="14:16" x14ac:dyDescent="0.25">
      <c r="N355" s="25"/>
      <c r="O355" t="str">
        <f t="shared" si="45"/>
        <v>R 0-3</v>
      </c>
      <c r="P355">
        <f t="shared" si="46"/>
        <v>0</v>
      </c>
    </row>
    <row r="356" spans="14:16" x14ac:dyDescent="0.25">
      <c r="N356" s="25"/>
      <c r="O356" t="str">
        <f t="shared" si="45"/>
        <v>R 0-3</v>
      </c>
      <c r="P356">
        <f t="shared" si="46"/>
        <v>0</v>
      </c>
    </row>
    <row r="357" spans="14:16" x14ac:dyDescent="0.25">
      <c r="N357" s="25"/>
      <c r="O357" t="str">
        <f t="shared" si="45"/>
        <v>R 0-3</v>
      </c>
      <c r="P357">
        <f t="shared" si="46"/>
        <v>0</v>
      </c>
    </row>
    <row r="358" spans="14:16" x14ac:dyDescent="0.25">
      <c r="N358" s="25"/>
      <c r="O358" t="str">
        <f t="shared" ref="O358:O421" si="47">VLOOKUP(N358,$R$2:$T$15,3,TRUE)</f>
        <v>R 0-3</v>
      </c>
      <c r="P358">
        <f t="shared" si="46"/>
        <v>0</v>
      </c>
    </row>
    <row r="359" spans="14:16" x14ac:dyDescent="0.25">
      <c r="N359" s="25"/>
      <c r="O359" t="str">
        <f t="shared" si="47"/>
        <v>R 0-3</v>
      </c>
      <c r="P359">
        <f t="shared" si="46"/>
        <v>0</v>
      </c>
    </row>
    <row r="360" spans="14:16" x14ac:dyDescent="0.25">
      <c r="N360" s="25"/>
      <c r="O360" t="str">
        <f t="shared" si="47"/>
        <v>R 0-3</v>
      </c>
      <c r="P360">
        <f t="shared" si="46"/>
        <v>0</v>
      </c>
    </row>
    <row r="361" spans="14:16" x14ac:dyDescent="0.25">
      <c r="N361" s="25"/>
      <c r="O361" t="str">
        <f t="shared" si="47"/>
        <v>R 0-3</v>
      </c>
      <c r="P361">
        <f t="shared" si="46"/>
        <v>0</v>
      </c>
    </row>
    <row r="362" spans="14:16" x14ac:dyDescent="0.25">
      <c r="N362" s="25"/>
      <c r="O362" t="str">
        <f t="shared" si="47"/>
        <v>R 0-3</v>
      </c>
      <c r="P362">
        <f t="shared" si="46"/>
        <v>0</v>
      </c>
    </row>
    <row r="363" spans="14:16" x14ac:dyDescent="0.25">
      <c r="N363" s="25"/>
      <c r="O363" t="str">
        <f t="shared" si="47"/>
        <v>R 0-3</v>
      </c>
      <c r="P363">
        <f t="shared" si="46"/>
        <v>0</v>
      </c>
    </row>
    <row r="364" spans="14:16" x14ac:dyDescent="0.25">
      <c r="N364" s="25"/>
      <c r="O364" t="str">
        <f t="shared" si="47"/>
        <v>R 0-3</v>
      </c>
      <c r="P364">
        <f t="shared" si="46"/>
        <v>0</v>
      </c>
    </row>
    <row r="365" spans="14:16" x14ac:dyDescent="0.25">
      <c r="N365" s="25"/>
      <c r="O365" t="str">
        <f t="shared" si="47"/>
        <v>R 0-3</v>
      </c>
      <c r="P365">
        <f t="shared" si="46"/>
        <v>0</v>
      </c>
    </row>
    <row r="366" spans="14:16" x14ac:dyDescent="0.25">
      <c r="N366" s="25"/>
      <c r="O366" t="str">
        <f t="shared" si="47"/>
        <v>R 0-3</v>
      </c>
      <c r="P366">
        <f t="shared" si="46"/>
        <v>0</v>
      </c>
    </row>
    <row r="367" spans="14:16" x14ac:dyDescent="0.25">
      <c r="N367" s="25"/>
      <c r="O367" t="str">
        <f t="shared" si="47"/>
        <v>R 0-3</v>
      </c>
      <c r="P367">
        <f t="shared" si="46"/>
        <v>0</v>
      </c>
    </row>
    <row r="368" spans="14:16" x14ac:dyDescent="0.25">
      <c r="N368" s="25"/>
      <c r="O368" t="str">
        <f t="shared" si="47"/>
        <v>R 0-3</v>
      </c>
      <c r="P368">
        <f t="shared" si="46"/>
        <v>0</v>
      </c>
    </row>
    <row r="369" spans="14:16" x14ac:dyDescent="0.25">
      <c r="N369" s="25"/>
      <c r="O369" t="str">
        <f t="shared" si="47"/>
        <v>R 0-3</v>
      </c>
      <c r="P369">
        <f t="shared" si="46"/>
        <v>0</v>
      </c>
    </row>
    <row r="370" spans="14:16" x14ac:dyDescent="0.25">
      <c r="N370" s="25"/>
      <c r="O370" t="str">
        <f t="shared" si="47"/>
        <v>R 0-3</v>
      </c>
      <c r="P370">
        <f t="shared" si="46"/>
        <v>0</v>
      </c>
    </row>
    <row r="371" spans="14:16" x14ac:dyDescent="0.25">
      <c r="N371" s="25"/>
      <c r="O371" t="str">
        <f t="shared" si="47"/>
        <v>R 0-3</v>
      </c>
      <c r="P371">
        <f t="shared" si="46"/>
        <v>0</v>
      </c>
    </row>
    <row r="372" spans="14:16" x14ac:dyDescent="0.25">
      <c r="N372" s="25"/>
      <c r="O372" t="str">
        <f t="shared" si="47"/>
        <v>R 0-3</v>
      </c>
      <c r="P372">
        <f t="shared" si="46"/>
        <v>0</v>
      </c>
    </row>
    <row r="373" spans="14:16" x14ac:dyDescent="0.25">
      <c r="N373" s="25"/>
      <c r="O373" t="str">
        <f t="shared" si="47"/>
        <v>R 0-3</v>
      </c>
      <c r="P373">
        <f t="shared" si="46"/>
        <v>0</v>
      </c>
    </row>
    <row r="374" spans="14:16" x14ac:dyDescent="0.25">
      <c r="N374" s="25"/>
      <c r="O374" t="str">
        <f t="shared" si="47"/>
        <v>R 0-3</v>
      </c>
      <c r="P374">
        <f t="shared" si="46"/>
        <v>0</v>
      </c>
    </row>
    <row r="375" spans="14:16" x14ac:dyDescent="0.25">
      <c r="N375" s="25"/>
      <c r="O375" t="str">
        <f t="shared" si="47"/>
        <v>R 0-3</v>
      </c>
      <c r="P375">
        <f t="shared" si="46"/>
        <v>0</v>
      </c>
    </row>
    <row r="376" spans="14:16" x14ac:dyDescent="0.25">
      <c r="N376" s="25"/>
      <c r="O376" t="str">
        <f t="shared" si="47"/>
        <v>R 0-3</v>
      </c>
      <c r="P376">
        <f t="shared" si="46"/>
        <v>0</v>
      </c>
    </row>
    <row r="377" spans="14:16" x14ac:dyDescent="0.25">
      <c r="N377" s="25"/>
      <c r="O377" t="str">
        <f t="shared" si="47"/>
        <v>R 0-3</v>
      </c>
      <c r="P377">
        <f t="shared" si="46"/>
        <v>0</v>
      </c>
    </row>
    <row r="378" spans="14:16" x14ac:dyDescent="0.25">
      <c r="N378" s="25"/>
      <c r="O378" t="str">
        <f t="shared" si="47"/>
        <v>R 0-3</v>
      </c>
      <c r="P378">
        <f t="shared" si="46"/>
        <v>0</v>
      </c>
    </row>
    <row r="379" spans="14:16" x14ac:dyDescent="0.25">
      <c r="N379" s="25"/>
      <c r="O379" t="str">
        <f t="shared" si="47"/>
        <v>R 0-3</v>
      </c>
      <c r="P379">
        <f t="shared" si="46"/>
        <v>0</v>
      </c>
    </row>
    <row r="380" spans="14:16" x14ac:dyDescent="0.25">
      <c r="N380" s="25"/>
      <c r="O380" t="str">
        <f t="shared" si="47"/>
        <v>R 0-3</v>
      </c>
      <c r="P380">
        <f t="shared" si="46"/>
        <v>0</v>
      </c>
    </row>
    <row r="381" spans="14:16" x14ac:dyDescent="0.25">
      <c r="N381" s="25"/>
      <c r="O381" t="str">
        <f t="shared" si="47"/>
        <v>R 0-3</v>
      </c>
      <c r="P381">
        <f t="shared" si="46"/>
        <v>0</v>
      </c>
    </row>
    <row r="382" spans="14:16" x14ac:dyDescent="0.25">
      <c r="N382" s="25"/>
      <c r="O382" t="str">
        <f t="shared" si="47"/>
        <v>R 0-3</v>
      </c>
      <c r="P382">
        <f t="shared" si="46"/>
        <v>0</v>
      </c>
    </row>
    <row r="383" spans="14:16" x14ac:dyDescent="0.25">
      <c r="N383" s="25"/>
      <c r="O383" t="str">
        <f t="shared" si="47"/>
        <v>R 0-3</v>
      </c>
      <c r="P383">
        <f t="shared" si="46"/>
        <v>0</v>
      </c>
    </row>
    <row r="384" spans="14:16" x14ac:dyDescent="0.25">
      <c r="N384" s="25"/>
      <c r="O384" t="str">
        <f t="shared" si="47"/>
        <v>R 0-3</v>
      </c>
      <c r="P384">
        <f t="shared" si="46"/>
        <v>0</v>
      </c>
    </row>
    <row r="385" spans="14:16" x14ac:dyDescent="0.25">
      <c r="N385" s="25"/>
      <c r="O385" t="str">
        <f t="shared" si="47"/>
        <v>R 0-3</v>
      </c>
      <c r="P385">
        <f t="shared" si="46"/>
        <v>0</v>
      </c>
    </row>
    <row r="386" spans="14:16" x14ac:dyDescent="0.25">
      <c r="N386" s="25"/>
      <c r="O386" t="str">
        <f t="shared" si="47"/>
        <v>R 0-3</v>
      </c>
      <c r="P386">
        <f t="shared" si="46"/>
        <v>0</v>
      </c>
    </row>
    <row r="387" spans="14:16" x14ac:dyDescent="0.25">
      <c r="N387" s="25"/>
      <c r="O387" t="str">
        <f t="shared" si="47"/>
        <v>R 0-3</v>
      </c>
      <c r="P387">
        <f t="shared" ref="P387:P450" si="48">1*(N387&lt;&gt;0)</f>
        <v>0</v>
      </c>
    </row>
    <row r="388" spans="14:16" x14ac:dyDescent="0.25">
      <c r="N388" s="25"/>
      <c r="O388" t="str">
        <f t="shared" si="47"/>
        <v>R 0-3</v>
      </c>
      <c r="P388">
        <f t="shared" si="48"/>
        <v>0</v>
      </c>
    </row>
    <row r="389" spans="14:16" x14ac:dyDescent="0.25">
      <c r="N389" s="25"/>
      <c r="O389" t="str">
        <f t="shared" si="47"/>
        <v>R 0-3</v>
      </c>
      <c r="P389">
        <f t="shared" si="48"/>
        <v>0</v>
      </c>
    </row>
    <row r="390" spans="14:16" x14ac:dyDescent="0.25">
      <c r="N390" s="25"/>
      <c r="O390" t="str">
        <f t="shared" si="47"/>
        <v>R 0-3</v>
      </c>
      <c r="P390">
        <f t="shared" si="48"/>
        <v>0</v>
      </c>
    </row>
    <row r="391" spans="14:16" x14ac:dyDescent="0.25">
      <c r="N391" s="25"/>
      <c r="O391" t="str">
        <f t="shared" si="47"/>
        <v>R 0-3</v>
      </c>
      <c r="P391">
        <f t="shared" si="48"/>
        <v>0</v>
      </c>
    </row>
    <row r="392" spans="14:16" x14ac:dyDescent="0.25">
      <c r="N392" s="25"/>
      <c r="O392" t="str">
        <f t="shared" si="47"/>
        <v>R 0-3</v>
      </c>
      <c r="P392">
        <f t="shared" si="48"/>
        <v>0</v>
      </c>
    </row>
    <row r="393" spans="14:16" x14ac:dyDescent="0.25">
      <c r="N393" s="25"/>
      <c r="O393" t="str">
        <f t="shared" si="47"/>
        <v>R 0-3</v>
      </c>
      <c r="P393">
        <f t="shared" si="48"/>
        <v>0</v>
      </c>
    </row>
    <row r="394" spans="14:16" x14ac:dyDescent="0.25">
      <c r="N394" s="25"/>
      <c r="O394" t="str">
        <f t="shared" si="47"/>
        <v>R 0-3</v>
      </c>
      <c r="P394">
        <f t="shared" si="48"/>
        <v>0</v>
      </c>
    </row>
    <row r="395" spans="14:16" x14ac:dyDescent="0.25">
      <c r="N395" s="25"/>
      <c r="O395" t="str">
        <f t="shared" si="47"/>
        <v>R 0-3</v>
      </c>
      <c r="P395">
        <f t="shared" si="48"/>
        <v>0</v>
      </c>
    </row>
    <row r="396" spans="14:16" x14ac:dyDescent="0.25">
      <c r="N396" s="25"/>
      <c r="O396" t="str">
        <f t="shared" si="47"/>
        <v>R 0-3</v>
      </c>
      <c r="P396">
        <f t="shared" si="48"/>
        <v>0</v>
      </c>
    </row>
    <row r="397" spans="14:16" x14ac:dyDescent="0.25">
      <c r="N397" s="25"/>
      <c r="O397" t="str">
        <f t="shared" si="47"/>
        <v>R 0-3</v>
      </c>
      <c r="P397">
        <f t="shared" si="48"/>
        <v>0</v>
      </c>
    </row>
    <row r="398" spans="14:16" x14ac:dyDescent="0.25">
      <c r="N398" s="25"/>
      <c r="O398" t="str">
        <f t="shared" si="47"/>
        <v>R 0-3</v>
      </c>
      <c r="P398">
        <f t="shared" si="48"/>
        <v>0</v>
      </c>
    </row>
    <row r="399" spans="14:16" x14ac:dyDescent="0.25">
      <c r="N399" s="25"/>
      <c r="O399" t="str">
        <f t="shared" si="47"/>
        <v>R 0-3</v>
      </c>
      <c r="P399">
        <f t="shared" si="48"/>
        <v>0</v>
      </c>
    </row>
    <row r="400" spans="14:16" x14ac:dyDescent="0.25">
      <c r="N400" s="25"/>
      <c r="O400" t="str">
        <f t="shared" si="47"/>
        <v>R 0-3</v>
      </c>
      <c r="P400">
        <f t="shared" si="48"/>
        <v>0</v>
      </c>
    </row>
    <row r="401" spans="14:16" x14ac:dyDescent="0.25">
      <c r="N401" s="25"/>
      <c r="O401" t="str">
        <f t="shared" si="47"/>
        <v>R 0-3</v>
      </c>
      <c r="P401">
        <f t="shared" si="48"/>
        <v>0</v>
      </c>
    </row>
    <row r="402" spans="14:16" x14ac:dyDescent="0.25">
      <c r="N402" s="25"/>
      <c r="O402" t="str">
        <f t="shared" si="47"/>
        <v>R 0-3</v>
      </c>
      <c r="P402">
        <f t="shared" si="48"/>
        <v>0</v>
      </c>
    </row>
    <row r="403" spans="14:16" x14ac:dyDescent="0.25">
      <c r="N403" s="25"/>
      <c r="O403" t="str">
        <f t="shared" si="47"/>
        <v>R 0-3</v>
      </c>
      <c r="P403">
        <f t="shared" si="48"/>
        <v>0</v>
      </c>
    </row>
    <row r="404" spans="14:16" x14ac:dyDescent="0.25">
      <c r="N404" s="25"/>
      <c r="O404" t="str">
        <f t="shared" si="47"/>
        <v>R 0-3</v>
      </c>
      <c r="P404">
        <f t="shared" si="48"/>
        <v>0</v>
      </c>
    </row>
    <row r="405" spans="14:16" x14ac:dyDescent="0.25">
      <c r="N405" s="25"/>
      <c r="O405" t="str">
        <f t="shared" si="47"/>
        <v>R 0-3</v>
      </c>
      <c r="P405">
        <f t="shared" si="48"/>
        <v>0</v>
      </c>
    </row>
    <row r="406" spans="14:16" x14ac:dyDescent="0.25">
      <c r="N406" s="25"/>
      <c r="O406" t="str">
        <f t="shared" si="47"/>
        <v>R 0-3</v>
      </c>
      <c r="P406">
        <f t="shared" si="48"/>
        <v>0</v>
      </c>
    </row>
    <row r="407" spans="14:16" x14ac:dyDescent="0.25">
      <c r="N407" s="25"/>
      <c r="O407" t="str">
        <f t="shared" si="47"/>
        <v>R 0-3</v>
      </c>
      <c r="P407">
        <f t="shared" si="48"/>
        <v>0</v>
      </c>
    </row>
    <row r="408" spans="14:16" x14ac:dyDescent="0.25">
      <c r="N408" s="25"/>
      <c r="O408" t="str">
        <f t="shared" si="47"/>
        <v>R 0-3</v>
      </c>
      <c r="P408">
        <f t="shared" si="48"/>
        <v>0</v>
      </c>
    </row>
    <row r="409" spans="14:16" x14ac:dyDescent="0.25">
      <c r="N409" s="25"/>
      <c r="O409" t="str">
        <f t="shared" si="47"/>
        <v>R 0-3</v>
      </c>
      <c r="P409">
        <f t="shared" si="48"/>
        <v>0</v>
      </c>
    </row>
    <row r="410" spans="14:16" x14ac:dyDescent="0.25">
      <c r="N410" s="25"/>
      <c r="O410" t="str">
        <f t="shared" si="47"/>
        <v>R 0-3</v>
      </c>
      <c r="P410">
        <f t="shared" si="48"/>
        <v>0</v>
      </c>
    </row>
    <row r="411" spans="14:16" x14ac:dyDescent="0.25">
      <c r="N411" s="25"/>
      <c r="O411" t="str">
        <f t="shared" si="47"/>
        <v>R 0-3</v>
      </c>
      <c r="P411">
        <f t="shared" si="48"/>
        <v>0</v>
      </c>
    </row>
    <row r="412" spans="14:16" x14ac:dyDescent="0.25">
      <c r="N412" s="25"/>
      <c r="O412" t="str">
        <f t="shared" si="47"/>
        <v>R 0-3</v>
      </c>
      <c r="P412">
        <f t="shared" si="48"/>
        <v>0</v>
      </c>
    </row>
    <row r="413" spans="14:16" x14ac:dyDescent="0.25">
      <c r="N413" s="25"/>
      <c r="O413" t="str">
        <f t="shared" si="47"/>
        <v>R 0-3</v>
      </c>
      <c r="P413">
        <f t="shared" si="48"/>
        <v>0</v>
      </c>
    </row>
    <row r="414" spans="14:16" x14ac:dyDescent="0.25">
      <c r="N414" s="25"/>
      <c r="O414" t="str">
        <f t="shared" si="47"/>
        <v>R 0-3</v>
      </c>
      <c r="P414">
        <f t="shared" si="48"/>
        <v>0</v>
      </c>
    </row>
    <row r="415" spans="14:16" x14ac:dyDescent="0.25">
      <c r="N415" s="25"/>
      <c r="O415" t="str">
        <f t="shared" si="47"/>
        <v>R 0-3</v>
      </c>
      <c r="P415">
        <f t="shared" si="48"/>
        <v>0</v>
      </c>
    </row>
    <row r="416" spans="14:16" x14ac:dyDescent="0.25">
      <c r="N416" s="25"/>
      <c r="O416" t="str">
        <f t="shared" si="47"/>
        <v>R 0-3</v>
      </c>
      <c r="P416">
        <f t="shared" si="48"/>
        <v>0</v>
      </c>
    </row>
    <row r="417" spans="14:16" x14ac:dyDescent="0.25">
      <c r="N417" s="25"/>
      <c r="O417" t="str">
        <f t="shared" si="47"/>
        <v>R 0-3</v>
      </c>
      <c r="P417">
        <f t="shared" si="48"/>
        <v>0</v>
      </c>
    </row>
    <row r="418" spans="14:16" x14ac:dyDescent="0.25">
      <c r="N418" s="25"/>
      <c r="O418" t="str">
        <f t="shared" si="47"/>
        <v>R 0-3</v>
      </c>
      <c r="P418">
        <f t="shared" si="48"/>
        <v>0</v>
      </c>
    </row>
    <row r="419" spans="14:16" x14ac:dyDescent="0.25">
      <c r="N419" s="25"/>
      <c r="O419" t="str">
        <f t="shared" si="47"/>
        <v>R 0-3</v>
      </c>
      <c r="P419">
        <f t="shared" si="48"/>
        <v>0</v>
      </c>
    </row>
    <row r="420" spans="14:16" x14ac:dyDescent="0.25">
      <c r="N420" s="25"/>
      <c r="O420" t="str">
        <f t="shared" si="47"/>
        <v>R 0-3</v>
      </c>
      <c r="P420">
        <f t="shared" si="48"/>
        <v>0</v>
      </c>
    </row>
    <row r="421" spans="14:16" x14ac:dyDescent="0.25">
      <c r="N421" s="25"/>
      <c r="O421" t="str">
        <f t="shared" si="47"/>
        <v>R 0-3</v>
      </c>
      <c r="P421">
        <f t="shared" si="48"/>
        <v>0</v>
      </c>
    </row>
    <row r="422" spans="14:16" x14ac:dyDescent="0.25">
      <c r="N422" s="25"/>
      <c r="O422" t="str">
        <f t="shared" ref="O422:O485" si="49">VLOOKUP(N422,$R$2:$T$15,3,TRUE)</f>
        <v>R 0-3</v>
      </c>
      <c r="P422">
        <f t="shared" si="48"/>
        <v>0</v>
      </c>
    </row>
    <row r="423" spans="14:16" x14ac:dyDescent="0.25">
      <c r="N423" s="25"/>
      <c r="O423" t="str">
        <f t="shared" si="49"/>
        <v>R 0-3</v>
      </c>
      <c r="P423">
        <f t="shared" si="48"/>
        <v>0</v>
      </c>
    </row>
    <row r="424" spans="14:16" x14ac:dyDescent="0.25">
      <c r="N424" s="25"/>
      <c r="O424" t="str">
        <f t="shared" si="49"/>
        <v>R 0-3</v>
      </c>
      <c r="P424">
        <f t="shared" si="48"/>
        <v>0</v>
      </c>
    </row>
    <row r="425" spans="14:16" x14ac:dyDescent="0.25">
      <c r="N425" s="25"/>
      <c r="O425" t="str">
        <f t="shared" si="49"/>
        <v>R 0-3</v>
      </c>
      <c r="P425">
        <f t="shared" si="48"/>
        <v>0</v>
      </c>
    </row>
    <row r="426" spans="14:16" x14ac:dyDescent="0.25">
      <c r="N426" s="25"/>
      <c r="O426" t="str">
        <f t="shared" si="49"/>
        <v>R 0-3</v>
      </c>
      <c r="P426">
        <f t="shared" si="48"/>
        <v>0</v>
      </c>
    </row>
    <row r="427" spans="14:16" x14ac:dyDescent="0.25">
      <c r="N427" s="25"/>
      <c r="O427" t="str">
        <f t="shared" si="49"/>
        <v>R 0-3</v>
      </c>
      <c r="P427">
        <f t="shared" si="48"/>
        <v>0</v>
      </c>
    </row>
    <row r="428" spans="14:16" x14ac:dyDescent="0.25">
      <c r="N428" s="25"/>
      <c r="O428" t="str">
        <f t="shared" si="49"/>
        <v>R 0-3</v>
      </c>
      <c r="P428">
        <f t="shared" si="48"/>
        <v>0</v>
      </c>
    </row>
    <row r="429" spans="14:16" x14ac:dyDescent="0.25">
      <c r="N429" s="25"/>
      <c r="O429" t="str">
        <f t="shared" si="49"/>
        <v>R 0-3</v>
      </c>
      <c r="P429">
        <f t="shared" si="48"/>
        <v>0</v>
      </c>
    </row>
    <row r="430" spans="14:16" x14ac:dyDescent="0.25">
      <c r="N430" s="25"/>
      <c r="O430" t="str">
        <f t="shared" si="49"/>
        <v>R 0-3</v>
      </c>
      <c r="P430">
        <f t="shared" si="48"/>
        <v>0</v>
      </c>
    </row>
    <row r="431" spans="14:16" x14ac:dyDescent="0.25">
      <c r="N431" s="25"/>
      <c r="O431" t="str">
        <f t="shared" si="49"/>
        <v>R 0-3</v>
      </c>
      <c r="P431">
        <f t="shared" si="48"/>
        <v>0</v>
      </c>
    </row>
    <row r="432" spans="14:16" x14ac:dyDescent="0.25">
      <c r="N432" s="25"/>
      <c r="O432" t="str">
        <f t="shared" si="49"/>
        <v>R 0-3</v>
      </c>
      <c r="P432">
        <f t="shared" si="48"/>
        <v>0</v>
      </c>
    </row>
    <row r="433" spans="14:16" x14ac:dyDescent="0.25">
      <c r="N433" s="25"/>
      <c r="O433" t="str">
        <f t="shared" si="49"/>
        <v>R 0-3</v>
      </c>
      <c r="P433">
        <f t="shared" si="48"/>
        <v>0</v>
      </c>
    </row>
    <row r="434" spans="14:16" x14ac:dyDescent="0.25">
      <c r="N434" s="25"/>
      <c r="O434" t="str">
        <f t="shared" si="49"/>
        <v>R 0-3</v>
      </c>
      <c r="P434">
        <f t="shared" si="48"/>
        <v>0</v>
      </c>
    </row>
    <row r="435" spans="14:16" x14ac:dyDescent="0.25">
      <c r="N435" s="25"/>
      <c r="O435" t="str">
        <f t="shared" si="49"/>
        <v>R 0-3</v>
      </c>
      <c r="P435">
        <f t="shared" si="48"/>
        <v>0</v>
      </c>
    </row>
    <row r="436" spans="14:16" x14ac:dyDescent="0.25">
      <c r="N436" s="25"/>
      <c r="O436" t="str">
        <f t="shared" si="49"/>
        <v>R 0-3</v>
      </c>
      <c r="P436">
        <f t="shared" si="48"/>
        <v>0</v>
      </c>
    </row>
    <row r="437" spans="14:16" x14ac:dyDescent="0.25">
      <c r="N437" s="25"/>
      <c r="O437" t="str">
        <f t="shared" si="49"/>
        <v>R 0-3</v>
      </c>
      <c r="P437">
        <f t="shared" si="48"/>
        <v>0</v>
      </c>
    </row>
    <row r="438" spans="14:16" x14ac:dyDescent="0.25">
      <c r="N438" s="25"/>
      <c r="O438" t="str">
        <f t="shared" si="49"/>
        <v>R 0-3</v>
      </c>
      <c r="P438">
        <f t="shared" si="48"/>
        <v>0</v>
      </c>
    </row>
    <row r="439" spans="14:16" x14ac:dyDescent="0.25">
      <c r="N439" s="25"/>
      <c r="O439" t="str">
        <f t="shared" si="49"/>
        <v>R 0-3</v>
      </c>
      <c r="P439">
        <f t="shared" si="48"/>
        <v>0</v>
      </c>
    </row>
    <row r="440" spans="14:16" x14ac:dyDescent="0.25">
      <c r="N440" s="25"/>
      <c r="O440" t="str">
        <f t="shared" si="49"/>
        <v>R 0-3</v>
      </c>
      <c r="P440">
        <f t="shared" si="48"/>
        <v>0</v>
      </c>
    </row>
    <row r="441" spans="14:16" x14ac:dyDescent="0.25">
      <c r="N441" s="25"/>
      <c r="O441" t="str">
        <f t="shared" si="49"/>
        <v>R 0-3</v>
      </c>
      <c r="P441">
        <f t="shared" si="48"/>
        <v>0</v>
      </c>
    </row>
    <row r="442" spans="14:16" x14ac:dyDescent="0.25">
      <c r="N442" s="25"/>
      <c r="O442" t="str">
        <f t="shared" si="49"/>
        <v>R 0-3</v>
      </c>
      <c r="P442">
        <f t="shared" si="48"/>
        <v>0</v>
      </c>
    </row>
    <row r="443" spans="14:16" x14ac:dyDescent="0.25">
      <c r="N443" s="25"/>
      <c r="O443" t="str">
        <f t="shared" si="49"/>
        <v>R 0-3</v>
      </c>
      <c r="P443">
        <f t="shared" si="48"/>
        <v>0</v>
      </c>
    </row>
    <row r="444" spans="14:16" x14ac:dyDescent="0.25">
      <c r="N444" s="25"/>
      <c r="O444" t="str">
        <f t="shared" si="49"/>
        <v>R 0-3</v>
      </c>
      <c r="P444">
        <f t="shared" si="48"/>
        <v>0</v>
      </c>
    </row>
    <row r="445" spans="14:16" x14ac:dyDescent="0.25">
      <c r="N445" s="25"/>
      <c r="O445" t="str">
        <f t="shared" si="49"/>
        <v>R 0-3</v>
      </c>
      <c r="P445">
        <f t="shared" si="48"/>
        <v>0</v>
      </c>
    </row>
    <row r="446" spans="14:16" x14ac:dyDescent="0.25">
      <c r="N446" s="25"/>
      <c r="O446" t="str">
        <f t="shared" si="49"/>
        <v>R 0-3</v>
      </c>
      <c r="P446">
        <f t="shared" si="48"/>
        <v>0</v>
      </c>
    </row>
    <row r="447" spans="14:16" x14ac:dyDescent="0.25">
      <c r="N447" s="25"/>
      <c r="O447" t="str">
        <f t="shared" si="49"/>
        <v>R 0-3</v>
      </c>
      <c r="P447">
        <f t="shared" si="48"/>
        <v>0</v>
      </c>
    </row>
    <row r="448" spans="14:16" x14ac:dyDescent="0.25">
      <c r="N448" s="25"/>
      <c r="O448" t="str">
        <f t="shared" si="49"/>
        <v>R 0-3</v>
      </c>
      <c r="P448">
        <f t="shared" si="48"/>
        <v>0</v>
      </c>
    </row>
    <row r="449" spans="14:16" x14ac:dyDescent="0.25">
      <c r="N449" s="25"/>
      <c r="O449" t="str">
        <f t="shared" si="49"/>
        <v>R 0-3</v>
      </c>
      <c r="P449">
        <f t="shared" si="48"/>
        <v>0</v>
      </c>
    </row>
    <row r="450" spans="14:16" x14ac:dyDescent="0.25">
      <c r="N450" s="25"/>
      <c r="O450" t="str">
        <f t="shared" si="49"/>
        <v>R 0-3</v>
      </c>
      <c r="P450">
        <f t="shared" si="48"/>
        <v>0</v>
      </c>
    </row>
    <row r="451" spans="14:16" x14ac:dyDescent="0.25">
      <c r="N451" s="25"/>
      <c r="O451" t="str">
        <f t="shared" si="49"/>
        <v>R 0-3</v>
      </c>
      <c r="P451">
        <f t="shared" ref="P451:P514" si="50">1*(N451&lt;&gt;0)</f>
        <v>0</v>
      </c>
    </row>
    <row r="452" spans="14:16" x14ac:dyDescent="0.25">
      <c r="N452" s="25"/>
      <c r="O452" t="str">
        <f t="shared" si="49"/>
        <v>R 0-3</v>
      </c>
      <c r="P452">
        <f t="shared" si="50"/>
        <v>0</v>
      </c>
    </row>
    <row r="453" spans="14:16" x14ac:dyDescent="0.25">
      <c r="N453" s="25"/>
      <c r="O453" t="str">
        <f t="shared" si="49"/>
        <v>R 0-3</v>
      </c>
      <c r="P453">
        <f t="shared" si="50"/>
        <v>0</v>
      </c>
    </row>
    <row r="454" spans="14:16" x14ac:dyDescent="0.25">
      <c r="N454" s="25"/>
      <c r="O454" t="str">
        <f t="shared" si="49"/>
        <v>R 0-3</v>
      </c>
      <c r="P454">
        <f t="shared" si="50"/>
        <v>0</v>
      </c>
    </row>
    <row r="455" spans="14:16" x14ac:dyDescent="0.25">
      <c r="N455" s="25"/>
      <c r="O455" t="str">
        <f t="shared" si="49"/>
        <v>R 0-3</v>
      </c>
      <c r="P455">
        <f t="shared" si="50"/>
        <v>0</v>
      </c>
    </row>
    <row r="456" spans="14:16" x14ac:dyDescent="0.25">
      <c r="N456" s="25"/>
      <c r="O456" t="str">
        <f t="shared" si="49"/>
        <v>R 0-3</v>
      </c>
      <c r="P456">
        <f t="shared" si="50"/>
        <v>0</v>
      </c>
    </row>
    <row r="457" spans="14:16" x14ac:dyDescent="0.25">
      <c r="N457" s="25"/>
      <c r="O457" t="str">
        <f t="shared" si="49"/>
        <v>R 0-3</v>
      </c>
      <c r="P457">
        <f t="shared" si="50"/>
        <v>0</v>
      </c>
    </row>
    <row r="458" spans="14:16" x14ac:dyDescent="0.25">
      <c r="N458" s="25"/>
      <c r="O458" t="str">
        <f t="shared" si="49"/>
        <v>R 0-3</v>
      </c>
      <c r="P458">
        <f t="shared" si="50"/>
        <v>0</v>
      </c>
    </row>
    <row r="459" spans="14:16" x14ac:dyDescent="0.25">
      <c r="N459" s="25"/>
      <c r="O459" t="str">
        <f t="shared" si="49"/>
        <v>R 0-3</v>
      </c>
      <c r="P459">
        <f t="shared" si="50"/>
        <v>0</v>
      </c>
    </row>
    <row r="460" spans="14:16" x14ac:dyDescent="0.25">
      <c r="N460" s="25"/>
      <c r="O460" t="str">
        <f t="shared" si="49"/>
        <v>R 0-3</v>
      </c>
      <c r="P460">
        <f t="shared" si="50"/>
        <v>0</v>
      </c>
    </row>
    <row r="461" spans="14:16" x14ac:dyDescent="0.25">
      <c r="N461" s="25"/>
      <c r="O461" t="str">
        <f t="shared" si="49"/>
        <v>R 0-3</v>
      </c>
      <c r="P461">
        <f t="shared" si="50"/>
        <v>0</v>
      </c>
    </row>
    <row r="462" spans="14:16" x14ac:dyDescent="0.25">
      <c r="N462" s="25"/>
      <c r="O462" t="str">
        <f t="shared" si="49"/>
        <v>R 0-3</v>
      </c>
      <c r="P462">
        <f t="shared" si="50"/>
        <v>0</v>
      </c>
    </row>
    <row r="463" spans="14:16" x14ac:dyDescent="0.25">
      <c r="N463" s="25"/>
      <c r="O463" t="str">
        <f t="shared" si="49"/>
        <v>R 0-3</v>
      </c>
      <c r="P463">
        <f t="shared" si="50"/>
        <v>0</v>
      </c>
    </row>
    <row r="464" spans="14:16" x14ac:dyDescent="0.25">
      <c r="N464" s="25"/>
      <c r="O464" t="str">
        <f t="shared" si="49"/>
        <v>R 0-3</v>
      </c>
      <c r="P464">
        <f t="shared" si="50"/>
        <v>0</v>
      </c>
    </row>
    <row r="465" spans="14:16" x14ac:dyDescent="0.25">
      <c r="N465" s="25"/>
      <c r="O465" t="str">
        <f t="shared" si="49"/>
        <v>R 0-3</v>
      </c>
      <c r="P465">
        <f t="shared" si="50"/>
        <v>0</v>
      </c>
    </row>
    <row r="466" spans="14:16" x14ac:dyDescent="0.25">
      <c r="N466" s="25"/>
      <c r="O466" t="str">
        <f t="shared" si="49"/>
        <v>R 0-3</v>
      </c>
      <c r="P466">
        <f t="shared" si="50"/>
        <v>0</v>
      </c>
    </row>
    <row r="467" spans="14:16" x14ac:dyDescent="0.25">
      <c r="N467" s="25"/>
      <c r="O467" t="str">
        <f t="shared" si="49"/>
        <v>R 0-3</v>
      </c>
      <c r="P467">
        <f t="shared" si="50"/>
        <v>0</v>
      </c>
    </row>
    <row r="468" spans="14:16" x14ac:dyDescent="0.25">
      <c r="N468" s="25"/>
      <c r="O468" t="str">
        <f t="shared" si="49"/>
        <v>R 0-3</v>
      </c>
      <c r="P468">
        <f t="shared" si="50"/>
        <v>0</v>
      </c>
    </row>
    <row r="469" spans="14:16" x14ac:dyDescent="0.25">
      <c r="N469" s="25"/>
      <c r="O469" t="str">
        <f t="shared" si="49"/>
        <v>R 0-3</v>
      </c>
      <c r="P469">
        <f t="shared" si="50"/>
        <v>0</v>
      </c>
    </row>
    <row r="470" spans="14:16" x14ac:dyDescent="0.25">
      <c r="N470" s="25"/>
      <c r="O470" t="str">
        <f t="shared" si="49"/>
        <v>R 0-3</v>
      </c>
      <c r="P470">
        <f t="shared" si="50"/>
        <v>0</v>
      </c>
    </row>
    <row r="471" spans="14:16" x14ac:dyDescent="0.25">
      <c r="N471" s="25"/>
      <c r="O471" t="str">
        <f t="shared" si="49"/>
        <v>R 0-3</v>
      </c>
      <c r="P471">
        <f t="shared" si="50"/>
        <v>0</v>
      </c>
    </row>
    <row r="472" spans="14:16" x14ac:dyDescent="0.25">
      <c r="N472" s="25"/>
      <c r="O472" t="str">
        <f t="shared" si="49"/>
        <v>R 0-3</v>
      </c>
      <c r="P472">
        <f t="shared" si="50"/>
        <v>0</v>
      </c>
    </row>
    <row r="473" spans="14:16" x14ac:dyDescent="0.25">
      <c r="N473" s="25"/>
      <c r="O473" t="str">
        <f t="shared" si="49"/>
        <v>R 0-3</v>
      </c>
      <c r="P473">
        <f t="shared" si="50"/>
        <v>0</v>
      </c>
    </row>
    <row r="474" spans="14:16" x14ac:dyDescent="0.25">
      <c r="N474" s="25"/>
      <c r="O474" t="str">
        <f t="shared" si="49"/>
        <v>R 0-3</v>
      </c>
      <c r="P474">
        <f t="shared" si="50"/>
        <v>0</v>
      </c>
    </row>
    <row r="475" spans="14:16" x14ac:dyDescent="0.25">
      <c r="N475" s="25"/>
      <c r="O475" t="str">
        <f t="shared" si="49"/>
        <v>R 0-3</v>
      </c>
      <c r="P475">
        <f t="shared" si="50"/>
        <v>0</v>
      </c>
    </row>
    <row r="476" spans="14:16" x14ac:dyDescent="0.25">
      <c r="N476" s="25"/>
      <c r="O476" t="str">
        <f t="shared" si="49"/>
        <v>R 0-3</v>
      </c>
      <c r="P476">
        <f t="shared" si="50"/>
        <v>0</v>
      </c>
    </row>
    <row r="477" spans="14:16" x14ac:dyDescent="0.25">
      <c r="N477" s="25"/>
      <c r="O477" t="str">
        <f t="shared" si="49"/>
        <v>R 0-3</v>
      </c>
      <c r="P477">
        <f t="shared" si="50"/>
        <v>0</v>
      </c>
    </row>
    <row r="478" spans="14:16" x14ac:dyDescent="0.25">
      <c r="N478" s="25"/>
      <c r="O478" t="str">
        <f t="shared" si="49"/>
        <v>R 0-3</v>
      </c>
      <c r="P478">
        <f t="shared" si="50"/>
        <v>0</v>
      </c>
    </row>
    <row r="479" spans="14:16" x14ac:dyDescent="0.25">
      <c r="N479" s="25"/>
      <c r="O479" t="str">
        <f t="shared" si="49"/>
        <v>R 0-3</v>
      </c>
      <c r="P479">
        <f t="shared" si="50"/>
        <v>0</v>
      </c>
    </row>
    <row r="480" spans="14:16" x14ac:dyDescent="0.25">
      <c r="N480" s="25"/>
      <c r="O480" t="str">
        <f t="shared" si="49"/>
        <v>R 0-3</v>
      </c>
      <c r="P480">
        <f t="shared" si="50"/>
        <v>0</v>
      </c>
    </row>
    <row r="481" spans="14:16" x14ac:dyDescent="0.25">
      <c r="N481" s="25"/>
      <c r="O481" t="str">
        <f t="shared" si="49"/>
        <v>R 0-3</v>
      </c>
      <c r="P481">
        <f t="shared" si="50"/>
        <v>0</v>
      </c>
    </row>
    <row r="482" spans="14:16" x14ac:dyDescent="0.25">
      <c r="N482" s="25"/>
      <c r="O482" t="str">
        <f t="shared" si="49"/>
        <v>R 0-3</v>
      </c>
      <c r="P482">
        <f t="shared" si="50"/>
        <v>0</v>
      </c>
    </row>
    <row r="483" spans="14:16" x14ac:dyDescent="0.25">
      <c r="N483" s="25"/>
      <c r="O483" t="str">
        <f t="shared" si="49"/>
        <v>R 0-3</v>
      </c>
      <c r="P483">
        <f t="shared" si="50"/>
        <v>0</v>
      </c>
    </row>
    <row r="484" spans="14:16" x14ac:dyDescent="0.25">
      <c r="N484" s="25"/>
      <c r="O484" t="str">
        <f t="shared" si="49"/>
        <v>R 0-3</v>
      </c>
      <c r="P484">
        <f t="shared" si="50"/>
        <v>0</v>
      </c>
    </row>
    <row r="485" spans="14:16" x14ac:dyDescent="0.25">
      <c r="N485" s="25"/>
      <c r="O485" t="str">
        <f t="shared" si="49"/>
        <v>R 0-3</v>
      </c>
      <c r="P485">
        <f t="shared" si="50"/>
        <v>0</v>
      </c>
    </row>
    <row r="486" spans="14:16" x14ac:dyDescent="0.25">
      <c r="N486" s="25"/>
      <c r="O486" t="str">
        <f t="shared" ref="O486:O549" si="51">VLOOKUP(N486,$R$2:$T$15,3,TRUE)</f>
        <v>R 0-3</v>
      </c>
      <c r="P486">
        <f t="shared" si="50"/>
        <v>0</v>
      </c>
    </row>
    <row r="487" spans="14:16" x14ac:dyDescent="0.25">
      <c r="N487" s="25"/>
      <c r="O487" t="str">
        <f t="shared" si="51"/>
        <v>R 0-3</v>
      </c>
      <c r="P487">
        <f t="shared" si="50"/>
        <v>0</v>
      </c>
    </row>
    <row r="488" spans="14:16" x14ac:dyDescent="0.25">
      <c r="N488" s="25"/>
      <c r="O488" t="str">
        <f t="shared" si="51"/>
        <v>R 0-3</v>
      </c>
      <c r="P488">
        <f t="shared" si="50"/>
        <v>0</v>
      </c>
    </row>
    <row r="489" spans="14:16" x14ac:dyDescent="0.25">
      <c r="N489" s="25"/>
      <c r="O489" t="str">
        <f t="shared" si="51"/>
        <v>R 0-3</v>
      </c>
      <c r="P489">
        <f t="shared" si="50"/>
        <v>0</v>
      </c>
    </row>
    <row r="490" spans="14:16" x14ac:dyDescent="0.25">
      <c r="N490" s="25"/>
      <c r="O490" t="str">
        <f t="shared" si="51"/>
        <v>R 0-3</v>
      </c>
      <c r="P490">
        <f t="shared" si="50"/>
        <v>0</v>
      </c>
    </row>
    <row r="491" spans="14:16" x14ac:dyDescent="0.25">
      <c r="N491" s="25"/>
      <c r="O491" t="str">
        <f t="shared" si="51"/>
        <v>R 0-3</v>
      </c>
      <c r="P491">
        <f t="shared" si="50"/>
        <v>0</v>
      </c>
    </row>
    <row r="492" spans="14:16" x14ac:dyDescent="0.25">
      <c r="N492" s="25"/>
      <c r="O492" t="str">
        <f t="shared" si="51"/>
        <v>R 0-3</v>
      </c>
      <c r="P492">
        <f t="shared" si="50"/>
        <v>0</v>
      </c>
    </row>
    <row r="493" spans="14:16" x14ac:dyDescent="0.25">
      <c r="N493" s="25"/>
      <c r="O493" t="str">
        <f t="shared" si="51"/>
        <v>R 0-3</v>
      </c>
      <c r="P493">
        <f t="shared" si="50"/>
        <v>0</v>
      </c>
    </row>
    <row r="494" spans="14:16" x14ac:dyDescent="0.25">
      <c r="N494" s="25"/>
      <c r="O494" t="str">
        <f t="shared" si="51"/>
        <v>R 0-3</v>
      </c>
      <c r="P494">
        <f t="shared" si="50"/>
        <v>0</v>
      </c>
    </row>
    <row r="495" spans="14:16" x14ac:dyDescent="0.25">
      <c r="N495" s="25"/>
      <c r="O495" t="str">
        <f t="shared" si="51"/>
        <v>R 0-3</v>
      </c>
      <c r="P495">
        <f t="shared" si="50"/>
        <v>0</v>
      </c>
    </row>
    <row r="496" spans="14:16" x14ac:dyDescent="0.25">
      <c r="N496" s="25"/>
      <c r="O496" t="str">
        <f t="shared" si="51"/>
        <v>R 0-3</v>
      </c>
      <c r="P496">
        <f t="shared" si="50"/>
        <v>0</v>
      </c>
    </row>
    <row r="497" spans="14:16" x14ac:dyDescent="0.25">
      <c r="N497" s="25"/>
      <c r="O497" t="str">
        <f t="shared" si="51"/>
        <v>R 0-3</v>
      </c>
      <c r="P497">
        <f t="shared" si="50"/>
        <v>0</v>
      </c>
    </row>
    <row r="498" spans="14:16" x14ac:dyDescent="0.25">
      <c r="N498" s="25"/>
      <c r="O498" t="str">
        <f t="shared" si="51"/>
        <v>R 0-3</v>
      </c>
      <c r="P498">
        <f t="shared" si="50"/>
        <v>0</v>
      </c>
    </row>
    <row r="499" spans="14:16" x14ac:dyDescent="0.25">
      <c r="N499" s="25"/>
      <c r="O499" t="str">
        <f t="shared" si="51"/>
        <v>R 0-3</v>
      </c>
      <c r="P499">
        <f t="shared" si="50"/>
        <v>0</v>
      </c>
    </row>
    <row r="500" spans="14:16" x14ac:dyDescent="0.25">
      <c r="N500" s="25"/>
      <c r="O500" t="str">
        <f t="shared" si="51"/>
        <v>R 0-3</v>
      </c>
      <c r="P500">
        <f t="shared" si="50"/>
        <v>0</v>
      </c>
    </row>
    <row r="501" spans="14:16" x14ac:dyDescent="0.25">
      <c r="N501" s="25"/>
      <c r="O501" t="str">
        <f t="shared" si="51"/>
        <v>R 0-3</v>
      </c>
      <c r="P501">
        <f t="shared" si="50"/>
        <v>0</v>
      </c>
    </row>
    <row r="502" spans="14:16" x14ac:dyDescent="0.25">
      <c r="N502" s="25"/>
      <c r="O502" t="str">
        <f t="shared" si="51"/>
        <v>R 0-3</v>
      </c>
      <c r="P502">
        <f t="shared" si="50"/>
        <v>0</v>
      </c>
    </row>
    <row r="503" spans="14:16" x14ac:dyDescent="0.25">
      <c r="N503" s="25"/>
      <c r="O503" t="str">
        <f t="shared" si="51"/>
        <v>R 0-3</v>
      </c>
      <c r="P503">
        <f t="shared" si="50"/>
        <v>0</v>
      </c>
    </row>
    <row r="504" spans="14:16" x14ac:dyDescent="0.25">
      <c r="N504" s="25"/>
      <c r="O504" t="str">
        <f t="shared" si="51"/>
        <v>R 0-3</v>
      </c>
      <c r="P504">
        <f t="shared" si="50"/>
        <v>0</v>
      </c>
    </row>
    <row r="505" spans="14:16" x14ac:dyDescent="0.25">
      <c r="N505" s="25"/>
      <c r="O505" t="str">
        <f t="shared" si="51"/>
        <v>R 0-3</v>
      </c>
      <c r="P505">
        <f t="shared" si="50"/>
        <v>0</v>
      </c>
    </row>
    <row r="506" spans="14:16" x14ac:dyDescent="0.25">
      <c r="N506" s="25"/>
      <c r="O506" t="str">
        <f t="shared" si="51"/>
        <v>R 0-3</v>
      </c>
      <c r="P506">
        <f t="shared" si="50"/>
        <v>0</v>
      </c>
    </row>
    <row r="507" spans="14:16" x14ac:dyDescent="0.25">
      <c r="N507" s="25"/>
      <c r="O507" t="str">
        <f t="shared" si="51"/>
        <v>R 0-3</v>
      </c>
      <c r="P507">
        <f t="shared" si="50"/>
        <v>0</v>
      </c>
    </row>
    <row r="508" spans="14:16" x14ac:dyDescent="0.25">
      <c r="N508" s="25"/>
      <c r="O508" t="str">
        <f t="shared" si="51"/>
        <v>R 0-3</v>
      </c>
      <c r="P508">
        <f t="shared" si="50"/>
        <v>0</v>
      </c>
    </row>
    <row r="509" spans="14:16" x14ac:dyDescent="0.25">
      <c r="N509" s="25"/>
      <c r="O509" t="str">
        <f t="shared" si="51"/>
        <v>R 0-3</v>
      </c>
      <c r="P509">
        <f t="shared" si="50"/>
        <v>0</v>
      </c>
    </row>
    <row r="510" spans="14:16" x14ac:dyDescent="0.25">
      <c r="N510" s="25"/>
      <c r="O510" t="str">
        <f t="shared" si="51"/>
        <v>R 0-3</v>
      </c>
      <c r="P510">
        <f t="shared" si="50"/>
        <v>0</v>
      </c>
    </row>
    <row r="511" spans="14:16" x14ac:dyDescent="0.25">
      <c r="N511" s="25"/>
      <c r="O511" t="str">
        <f t="shared" si="51"/>
        <v>R 0-3</v>
      </c>
      <c r="P511">
        <f t="shared" si="50"/>
        <v>0</v>
      </c>
    </row>
    <row r="512" spans="14:16" x14ac:dyDescent="0.25">
      <c r="N512" s="25"/>
      <c r="O512" t="str">
        <f t="shared" si="51"/>
        <v>R 0-3</v>
      </c>
      <c r="P512">
        <f t="shared" si="50"/>
        <v>0</v>
      </c>
    </row>
    <row r="513" spans="14:16" x14ac:dyDescent="0.25">
      <c r="N513" s="25"/>
      <c r="O513" t="str">
        <f t="shared" si="51"/>
        <v>R 0-3</v>
      </c>
      <c r="P513">
        <f t="shared" si="50"/>
        <v>0</v>
      </c>
    </row>
    <row r="514" spans="14:16" x14ac:dyDescent="0.25">
      <c r="N514" s="25"/>
      <c r="O514" t="str">
        <f t="shared" si="51"/>
        <v>R 0-3</v>
      </c>
      <c r="P514">
        <f t="shared" si="50"/>
        <v>0</v>
      </c>
    </row>
    <row r="515" spans="14:16" x14ac:dyDescent="0.25">
      <c r="N515" s="25"/>
      <c r="O515" t="str">
        <f t="shared" si="51"/>
        <v>R 0-3</v>
      </c>
      <c r="P515">
        <f t="shared" ref="P515:P578" si="52">1*(N515&lt;&gt;0)</f>
        <v>0</v>
      </c>
    </row>
    <row r="516" spans="14:16" x14ac:dyDescent="0.25">
      <c r="N516" s="25"/>
      <c r="O516" t="str">
        <f t="shared" si="51"/>
        <v>R 0-3</v>
      </c>
      <c r="P516">
        <f t="shared" si="52"/>
        <v>0</v>
      </c>
    </row>
    <row r="517" spans="14:16" x14ac:dyDescent="0.25">
      <c r="N517" s="25"/>
      <c r="O517" t="str">
        <f t="shared" si="51"/>
        <v>R 0-3</v>
      </c>
      <c r="P517">
        <f t="shared" si="52"/>
        <v>0</v>
      </c>
    </row>
    <row r="518" spans="14:16" x14ac:dyDescent="0.25">
      <c r="N518" s="25"/>
      <c r="O518" t="str">
        <f t="shared" si="51"/>
        <v>R 0-3</v>
      </c>
      <c r="P518">
        <f t="shared" si="52"/>
        <v>0</v>
      </c>
    </row>
    <row r="519" spans="14:16" x14ac:dyDescent="0.25">
      <c r="N519" s="25"/>
      <c r="O519" t="str">
        <f t="shared" si="51"/>
        <v>R 0-3</v>
      </c>
      <c r="P519">
        <f t="shared" si="52"/>
        <v>0</v>
      </c>
    </row>
    <row r="520" spans="14:16" x14ac:dyDescent="0.25">
      <c r="N520" s="25"/>
      <c r="O520" t="str">
        <f t="shared" si="51"/>
        <v>R 0-3</v>
      </c>
      <c r="P520">
        <f t="shared" si="52"/>
        <v>0</v>
      </c>
    </row>
    <row r="521" spans="14:16" x14ac:dyDescent="0.25">
      <c r="N521" s="25"/>
      <c r="O521" t="str">
        <f t="shared" si="51"/>
        <v>R 0-3</v>
      </c>
      <c r="P521">
        <f t="shared" si="52"/>
        <v>0</v>
      </c>
    </row>
    <row r="522" spans="14:16" x14ac:dyDescent="0.25">
      <c r="N522" s="25"/>
      <c r="O522" t="str">
        <f t="shared" si="51"/>
        <v>R 0-3</v>
      </c>
      <c r="P522">
        <f t="shared" si="52"/>
        <v>0</v>
      </c>
    </row>
    <row r="523" spans="14:16" x14ac:dyDescent="0.25">
      <c r="N523" s="25"/>
      <c r="O523" t="str">
        <f t="shared" si="51"/>
        <v>R 0-3</v>
      </c>
      <c r="P523">
        <f t="shared" si="52"/>
        <v>0</v>
      </c>
    </row>
    <row r="524" spans="14:16" x14ac:dyDescent="0.25">
      <c r="N524" s="25"/>
      <c r="O524" t="str">
        <f t="shared" si="51"/>
        <v>R 0-3</v>
      </c>
      <c r="P524">
        <f t="shared" si="52"/>
        <v>0</v>
      </c>
    </row>
    <row r="525" spans="14:16" x14ac:dyDescent="0.25">
      <c r="N525" s="25"/>
      <c r="O525" t="str">
        <f t="shared" si="51"/>
        <v>R 0-3</v>
      </c>
      <c r="P525">
        <f t="shared" si="52"/>
        <v>0</v>
      </c>
    </row>
    <row r="526" spans="14:16" x14ac:dyDescent="0.25">
      <c r="N526" s="25"/>
      <c r="O526" t="str">
        <f t="shared" si="51"/>
        <v>R 0-3</v>
      </c>
      <c r="P526">
        <f t="shared" si="52"/>
        <v>0</v>
      </c>
    </row>
    <row r="527" spans="14:16" x14ac:dyDescent="0.25">
      <c r="N527" s="25"/>
      <c r="O527" t="str">
        <f t="shared" si="51"/>
        <v>R 0-3</v>
      </c>
      <c r="P527">
        <f t="shared" si="52"/>
        <v>0</v>
      </c>
    </row>
    <row r="528" spans="14:16" x14ac:dyDescent="0.25">
      <c r="N528" s="25"/>
      <c r="O528" t="str">
        <f t="shared" si="51"/>
        <v>R 0-3</v>
      </c>
      <c r="P528">
        <f t="shared" si="52"/>
        <v>0</v>
      </c>
    </row>
    <row r="529" spans="14:16" x14ac:dyDescent="0.25">
      <c r="N529" s="25"/>
      <c r="O529" t="str">
        <f t="shared" si="51"/>
        <v>R 0-3</v>
      </c>
      <c r="P529">
        <f t="shared" si="52"/>
        <v>0</v>
      </c>
    </row>
    <row r="530" spans="14:16" x14ac:dyDescent="0.25">
      <c r="N530" s="25"/>
      <c r="O530" t="str">
        <f t="shared" si="51"/>
        <v>R 0-3</v>
      </c>
      <c r="P530">
        <f t="shared" si="52"/>
        <v>0</v>
      </c>
    </row>
    <row r="531" spans="14:16" x14ac:dyDescent="0.25">
      <c r="N531" s="25"/>
      <c r="O531" t="str">
        <f t="shared" si="51"/>
        <v>R 0-3</v>
      </c>
      <c r="P531">
        <f t="shared" si="52"/>
        <v>0</v>
      </c>
    </row>
    <row r="532" spans="14:16" x14ac:dyDescent="0.25">
      <c r="N532" s="25"/>
      <c r="O532" t="str">
        <f t="shared" si="51"/>
        <v>R 0-3</v>
      </c>
      <c r="P532">
        <f t="shared" si="52"/>
        <v>0</v>
      </c>
    </row>
    <row r="533" spans="14:16" x14ac:dyDescent="0.25">
      <c r="N533" s="25"/>
      <c r="O533" t="str">
        <f t="shared" si="51"/>
        <v>R 0-3</v>
      </c>
      <c r="P533">
        <f t="shared" si="52"/>
        <v>0</v>
      </c>
    </row>
    <row r="534" spans="14:16" x14ac:dyDescent="0.25">
      <c r="N534" s="25"/>
      <c r="O534" t="str">
        <f t="shared" si="51"/>
        <v>R 0-3</v>
      </c>
      <c r="P534">
        <f t="shared" si="52"/>
        <v>0</v>
      </c>
    </row>
    <row r="535" spans="14:16" x14ac:dyDescent="0.25">
      <c r="N535" s="25"/>
      <c r="O535" t="str">
        <f t="shared" si="51"/>
        <v>R 0-3</v>
      </c>
      <c r="P535">
        <f t="shared" si="52"/>
        <v>0</v>
      </c>
    </row>
    <row r="536" spans="14:16" x14ac:dyDescent="0.25">
      <c r="N536" s="25"/>
      <c r="O536" t="str">
        <f t="shared" si="51"/>
        <v>R 0-3</v>
      </c>
      <c r="P536">
        <f t="shared" si="52"/>
        <v>0</v>
      </c>
    </row>
    <row r="537" spans="14:16" x14ac:dyDescent="0.25">
      <c r="N537" s="25"/>
      <c r="O537" t="str">
        <f t="shared" si="51"/>
        <v>R 0-3</v>
      </c>
      <c r="P537">
        <f t="shared" si="52"/>
        <v>0</v>
      </c>
    </row>
    <row r="538" spans="14:16" x14ac:dyDescent="0.25">
      <c r="N538" s="25"/>
      <c r="O538" t="str">
        <f t="shared" si="51"/>
        <v>R 0-3</v>
      </c>
      <c r="P538">
        <f t="shared" si="52"/>
        <v>0</v>
      </c>
    </row>
    <row r="539" spans="14:16" x14ac:dyDescent="0.25">
      <c r="N539" s="25"/>
      <c r="O539" t="str">
        <f t="shared" si="51"/>
        <v>R 0-3</v>
      </c>
      <c r="P539">
        <f t="shared" si="52"/>
        <v>0</v>
      </c>
    </row>
    <row r="540" spans="14:16" x14ac:dyDescent="0.25">
      <c r="N540" s="25"/>
      <c r="O540" t="str">
        <f t="shared" si="51"/>
        <v>R 0-3</v>
      </c>
      <c r="P540">
        <f t="shared" si="52"/>
        <v>0</v>
      </c>
    </row>
    <row r="541" spans="14:16" x14ac:dyDescent="0.25">
      <c r="N541" s="25"/>
      <c r="O541" t="str">
        <f t="shared" si="51"/>
        <v>R 0-3</v>
      </c>
      <c r="P541">
        <f t="shared" si="52"/>
        <v>0</v>
      </c>
    </row>
    <row r="542" spans="14:16" x14ac:dyDescent="0.25">
      <c r="N542" s="25"/>
      <c r="O542" t="str">
        <f t="shared" si="51"/>
        <v>R 0-3</v>
      </c>
      <c r="P542">
        <f t="shared" si="52"/>
        <v>0</v>
      </c>
    </row>
    <row r="543" spans="14:16" x14ac:dyDescent="0.25">
      <c r="N543" s="25"/>
      <c r="O543" t="str">
        <f t="shared" si="51"/>
        <v>R 0-3</v>
      </c>
      <c r="P543">
        <f t="shared" si="52"/>
        <v>0</v>
      </c>
    </row>
    <row r="544" spans="14:16" x14ac:dyDescent="0.25">
      <c r="N544" s="25"/>
      <c r="O544" t="str">
        <f t="shared" si="51"/>
        <v>R 0-3</v>
      </c>
      <c r="P544">
        <f t="shared" si="52"/>
        <v>0</v>
      </c>
    </row>
    <row r="545" spans="14:16" x14ac:dyDescent="0.25">
      <c r="N545" s="25"/>
      <c r="O545" t="str">
        <f t="shared" si="51"/>
        <v>R 0-3</v>
      </c>
      <c r="P545">
        <f t="shared" si="52"/>
        <v>0</v>
      </c>
    </row>
    <row r="546" spans="14:16" x14ac:dyDescent="0.25">
      <c r="N546" s="25"/>
      <c r="O546" t="str">
        <f t="shared" si="51"/>
        <v>R 0-3</v>
      </c>
      <c r="P546">
        <f t="shared" si="52"/>
        <v>0</v>
      </c>
    </row>
    <row r="547" spans="14:16" x14ac:dyDescent="0.25">
      <c r="N547" s="25"/>
      <c r="O547" t="str">
        <f t="shared" si="51"/>
        <v>R 0-3</v>
      </c>
      <c r="P547">
        <f t="shared" si="52"/>
        <v>0</v>
      </c>
    </row>
    <row r="548" spans="14:16" x14ac:dyDescent="0.25">
      <c r="N548" s="25"/>
      <c r="O548" t="str">
        <f t="shared" si="51"/>
        <v>R 0-3</v>
      </c>
      <c r="P548">
        <f t="shared" si="52"/>
        <v>0</v>
      </c>
    </row>
    <row r="549" spans="14:16" x14ac:dyDescent="0.25">
      <c r="N549" s="25"/>
      <c r="O549" t="str">
        <f t="shared" si="51"/>
        <v>R 0-3</v>
      </c>
      <c r="P549">
        <f t="shared" si="52"/>
        <v>0</v>
      </c>
    </row>
    <row r="550" spans="14:16" x14ac:dyDescent="0.25">
      <c r="N550" s="25"/>
      <c r="O550" t="str">
        <f t="shared" ref="O550:O613" si="53">VLOOKUP(N550,$R$2:$T$15,3,TRUE)</f>
        <v>R 0-3</v>
      </c>
      <c r="P550">
        <f t="shared" si="52"/>
        <v>0</v>
      </c>
    </row>
    <row r="551" spans="14:16" x14ac:dyDescent="0.25">
      <c r="N551" s="25"/>
      <c r="O551" t="str">
        <f t="shared" si="53"/>
        <v>R 0-3</v>
      </c>
      <c r="P551">
        <f t="shared" si="52"/>
        <v>0</v>
      </c>
    </row>
    <row r="552" spans="14:16" x14ac:dyDescent="0.25">
      <c r="N552" s="25"/>
      <c r="O552" t="str">
        <f t="shared" si="53"/>
        <v>R 0-3</v>
      </c>
      <c r="P552">
        <f t="shared" si="52"/>
        <v>0</v>
      </c>
    </row>
    <row r="553" spans="14:16" x14ac:dyDescent="0.25">
      <c r="N553" s="25"/>
      <c r="O553" t="str">
        <f t="shared" si="53"/>
        <v>R 0-3</v>
      </c>
      <c r="P553">
        <f t="shared" si="52"/>
        <v>0</v>
      </c>
    </row>
    <row r="554" spans="14:16" x14ac:dyDescent="0.25">
      <c r="N554" s="25"/>
      <c r="O554" t="str">
        <f t="shared" si="53"/>
        <v>R 0-3</v>
      </c>
      <c r="P554">
        <f t="shared" si="52"/>
        <v>0</v>
      </c>
    </row>
    <row r="555" spans="14:16" x14ac:dyDescent="0.25">
      <c r="N555" s="25"/>
      <c r="O555" t="str">
        <f t="shared" si="53"/>
        <v>R 0-3</v>
      </c>
      <c r="P555">
        <f t="shared" si="52"/>
        <v>0</v>
      </c>
    </row>
    <row r="556" spans="14:16" x14ac:dyDescent="0.25">
      <c r="N556" s="25"/>
      <c r="O556" t="str">
        <f t="shared" si="53"/>
        <v>R 0-3</v>
      </c>
      <c r="P556">
        <f t="shared" si="52"/>
        <v>0</v>
      </c>
    </row>
    <row r="557" spans="14:16" x14ac:dyDescent="0.25">
      <c r="N557" s="25"/>
      <c r="O557" t="str">
        <f t="shared" si="53"/>
        <v>R 0-3</v>
      </c>
      <c r="P557">
        <f t="shared" si="52"/>
        <v>0</v>
      </c>
    </row>
    <row r="558" spans="14:16" x14ac:dyDescent="0.25">
      <c r="N558" s="25"/>
      <c r="O558" t="str">
        <f t="shared" si="53"/>
        <v>R 0-3</v>
      </c>
      <c r="P558">
        <f t="shared" si="52"/>
        <v>0</v>
      </c>
    </row>
    <row r="559" spans="14:16" x14ac:dyDescent="0.25">
      <c r="N559" s="25"/>
      <c r="O559" t="str">
        <f t="shared" si="53"/>
        <v>R 0-3</v>
      </c>
      <c r="P559">
        <f t="shared" si="52"/>
        <v>0</v>
      </c>
    </row>
    <row r="560" spans="14:16" x14ac:dyDescent="0.25">
      <c r="N560" s="25"/>
      <c r="O560" t="str">
        <f t="shared" si="53"/>
        <v>R 0-3</v>
      </c>
      <c r="P560">
        <f t="shared" si="52"/>
        <v>0</v>
      </c>
    </row>
    <row r="561" spans="14:16" x14ac:dyDescent="0.25">
      <c r="N561" s="25"/>
      <c r="O561" t="str">
        <f t="shared" si="53"/>
        <v>R 0-3</v>
      </c>
      <c r="P561">
        <f t="shared" si="52"/>
        <v>0</v>
      </c>
    </row>
    <row r="562" spans="14:16" x14ac:dyDescent="0.25">
      <c r="N562" s="25"/>
      <c r="O562" t="str">
        <f t="shared" si="53"/>
        <v>R 0-3</v>
      </c>
      <c r="P562">
        <f t="shared" si="52"/>
        <v>0</v>
      </c>
    </row>
    <row r="563" spans="14:16" x14ac:dyDescent="0.25">
      <c r="N563" s="25"/>
      <c r="O563" t="str">
        <f t="shared" si="53"/>
        <v>R 0-3</v>
      </c>
      <c r="P563">
        <f t="shared" si="52"/>
        <v>0</v>
      </c>
    </row>
    <row r="564" spans="14:16" x14ac:dyDescent="0.25">
      <c r="N564" s="25"/>
      <c r="O564" t="str">
        <f t="shared" si="53"/>
        <v>R 0-3</v>
      </c>
      <c r="P564">
        <f t="shared" si="52"/>
        <v>0</v>
      </c>
    </row>
    <row r="565" spans="14:16" x14ac:dyDescent="0.25">
      <c r="N565" s="25"/>
      <c r="O565" t="str">
        <f t="shared" si="53"/>
        <v>R 0-3</v>
      </c>
      <c r="P565">
        <f t="shared" si="52"/>
        <v>0</v>
      </c>
    </row>
    <row r="566" spans="14:16" x14ac:dyDescent="0.25">
      <c r="N566" s="25"/>
      <c r="O566" t="str">
        <f t="shared" si="53"/>
        <v>R 0-3</v>
      </c>
      <c r="P566">
        <f t="shared" si="52"/>
        <v>0</v>
      </c>
    </row>
    <row r="567" spans="14:16" x14ac:dyDescent="0.25">
      <c r="N567" s="25"/>
      <c r="O567" t="str">
        <f t="shared" si="53"/>
        <v>R 0-3</v>
      </c>
      <c r="P567">
        <f t="shared" si="52"/>
        <v>0</v>
      </c>
    </row>
    <row r="568" spans="14:16" x14ac:dyDescent="0.25">
      <c r="N568" s="25"/>
      <c r="O568" t="str">
        <f t="shared" si="53"/>
        <v>R 0-3</v>
      </c>
      <c r="P568">
        <f t="shared" si="52"/>
        <v>0</v>
      </c>
    </row>
    <row r="569" spans="14:16" x14ac:dyDescent="0.25">
      <c r="N569" s="25"/>
      <c r="O569" t="str">
        <f t="shared" si="53"/>
        <v>R 0-3</v>
      </c>
      <c r="P569">
        <f t="shared" si="52"/>
        <v>0</v>
      </c>
    </row>
    <row r="570" spans="14:16" x14ac:dyDescent="0.25">
      <c r="N570" s="25"/>
      <c r="O570" t="str">
        <f t="shared" si="53"/>
        <v>R 0-3</v>
      </c>
      <c r="P570">
        <f t="shared" si="52"/>
        <v>0</v>
      </c>
    </row>
    <row r="571" spans="14:16" x14ac:dyDescent="0.25">
      <c r="N571" s="25"/>
      <c r="O571" t="str">
        <f t="shared" si="53"/>
        <v>R 0-3</v>
      </c>
      <c r="P571">
        <f t="shared" si="52"/>
        <v>0</v>
      </c>
    </row>
    <row r="572" spans="14:16" x14ac:dyDescent="0.25">
      <c r="N572" s="25"/>
      <c r="O572" t="str">
        <f t="shared" si="53"/>
        <v>R 0-3</v>
      </c>
      <c r="P572">
        <f t="shared" si="52"/>
        <v>0</v>
      </c>
    </row>
    <row r="573" spans="14:16" x14ac:dyDescent="0.25">
      <c r="N573" s="25"/>
      <c r="O573" t="str">
        <f t="shared" si="53"/>
        <v>R 0-3</v>
      </c>
      <c r="P573">
        <f t="shared" si="52"/>
        <v>0</v>
      </c>
    </row>
    <row r="574" spans="14:16" x14ac:dyDescent="0.25">
      <c r="N574" s="25"/>
      <c r="O574" t="str">
        <f t="shared" si="53"/>
        <v>R 0-3</v>
      </c>
      <c r="P574">
        <f t="shared" si="52"/>
        <v>0</v>
      </c>
    </row>
    <row r="575" spans="14:16" x14ac:dyDescent="0.25">
      <c r="N575" s="25"/>
      <c r="O575" t="str">
        <f t="shared" si="53"/>
        <v>R 0-3</v>
      </c>
      <c r="P575">
        <f t="shared" si="52"/>
        <v>0</v>
      </c>
    </row>
    <row r="576" spans="14:16" x14ac:dyDescent="0.25">
      <c r="N576" s="25"/>
      <c r="O576" t="str">
        <f t="shared" si="53"/>
        <v>R 0-3</v>
      </c>
      <c r="P576">
        <f t="shared" si="52"/>
        <v>0</v>
      </c>
    </row>
    <row r="577" spans="14:16" x14ac:dyDescent="0.25">
      <c r="N577" s="25"/>
      <c r="O577" t="str">
        <f t="shared" si="53"/>
        <v>R 0-3</v>
      </c>
      <c r="P577">
        <f t="shared" si="52"/>
        <v>0</v>
      </c>
    </row>
    <row r="578" spans="14:16" x14ac:dyDescent="0.25">
      <c r="N578" s="25"/>
      <c r="O578" t="str">
        <f t="shared" si="53"/>
        <v>R 0-3</v>
      </c>
      <c r="P578">
        <f t="shared" si="52"/>
        <v>0</v>
      </c>
    </row>
    <row r="579" spans="14:16" x14ac:dyDescent="0.25">
      <c r="N579" s="25"/>
      <c r="O579" t="str">
        <f t="shared" si="53"/>
        <v>R 0-3</v>
      </c>
      <c r="P579">
        <f t="shared" ref="P579:P642" si="54">1*(N579&lt;&gt;0)</f>
        <v>0</v>
      </c>
    </row>
    <row r="580" spans="14:16" x14ac:dyDescent="0.25">
      <c r="N580" s="25"/>
      <c r="O580" t="str">
        <f t="shared" si="53"/>
        <v>R 0-3</v>
      </c>
      <c r="P580">
        <f t="shared" si="54"/>
        <v>0</v>
      </c>
    </row>
    <row r="581" spans="14:16" x14ac:dyDescent="0.25">
      <c r="N581" s="25"/>
      <c r="O581" t="str">
        <f t="shared" si="53"/>
        <v>R 0-3</v>
      </c>
      <c r="P581">
        <f t="shared" si="54"/>
        <v>0</v>
      </c>
    </row>
    <row r="582" spans="14:16" x14ac:dyDescent="0.25">
      <c r="N582" s="25"/>
      <c r="O582" t="str">
        <f t="shared" si="53"/>
        <v>R 0-3</v>
      </c>
      <c r="P582">
        <f t="shared" si="54"/>
        <v>0</v>
      </c>
    </row>
    <row r="583" spans="14:16" x14ac:dyDescent="0.25">
      <c r="N583" s="25"/>
      <c r="O583" t="str">
        <f t="shared" si="53"/>
        <v>R 0-3</v>
      </c>
      <c r="P583">
        <f t="shared" si="54"/>
        <v>0</v>
      </c>
    </row>
    <row r="584" spans="14:16" x14ac:dyDescent="0.25">
      <c r="N584" s="25"/>
      <c r="O584" t="str">
        <f t="shared" si="53"/>
        <v>R 0-3</v>
      </c>
      <c r="P584">
        <f t="shared" si="54"/>
        <v>0</v>
      </c>
    </row>
    <row r="585" spans="14:16" x14ac:dyDescent="0.25">
      <c r="N585" s="25"/>
      <c r="O585" t="str">
        <f t="shared" si="53"/>
        <v>R 0-3</v>
      </c>
      <c r="P585">
        <f t="shared" si="54"/>
        <v>0</v>
      </c>
    </row>
    <row r="586" spans="14:16" x14ac:dyDescent="0.25">
      <c r="N586" s="25"/>
      <c r="O586" t="str">
        <f t="shared" si="53"/>
        <v>R 0-3</v>
      </c>
      <c r="P586">
        <f t="shared" si="54"/>
        <v>0</v>
      </c>
    </row>
    <row r="587" spans="14:16" x14ac:dyDescent="0.25">
      <c r="N587" s="25"/>
      <c r="O587" t="str">
        <f t="shared" si="53"/>
        <v>R 0-3</v>
      </c>
      <c r="P587">
        <f t="shared" si="54"/>
        <v>0</v>
      </c>
    </row>
    <row r="588" spans="14:16" x14ac:dyDescent="0.25">
      <c r="N588" s="25"/>
      <c r="O588" t="str">
        <f t="shared" si="53"/>
        <v>R 0-3</v>
      </c>
      <c r="P588">
        <f t="shared" si="54"/>
        <v>0</v>
      </c>
    </row>
    <row r="589" spans="14:16" x14ac:dyDescent="0.25">
      <c r="N589" s="25"/>
      <c r="O589" t="str">
        <f t="shared" si="53"/>
        <v>R 0-3</v>
      </c>
      <c r="P589">
        <f t="shared" si="54"/>
        <v>0</v>
      </c>
    </row>
    <row r="590" spans="14:16" x14ac:dyDescent="0.25">
      <c r="N590" s="25"/>
      <c r="O590" t="str">
        <f t="shared" si="53"/>
        <v>R 0-3</v>
      </c>
      <c r="P590">
        <f t="shared" si="54"/>
        <v>0</v>
      </c>
    </row>
    <row r="591" spans="14:16" x14ac:dyDescent="0.25">
      <c r="N591" s="25"/>
      <c r="O591" t="str">
        <f t="shared" si="53"/>
        <v>R 0-3</v>
      </c>
      <c r="P591">
        <f t="shared" si="54"/>
        <v>0</v>
      </c>
    </row>
    <row r="592" spans="14:16" x14ac:dyDescent="0.25">
      <c r="N592" s="25"/>
      <c r="O592" t="str">
        <f t="shared" si="53"/>
        <v>R 0-3</v>
      </c>
      <c r="P592">
        <f t="shared" si="54"/>
        <v>0</v>
      </c>
    </row>
    <row r="593" spans="14:16" x14ac:dyDescent="0.25">
      <c r="N593" s="25"/>
      <c r="O593" t="str">
        <f t="shared" si="53"/>
        <v>R 0-3</v>
      </c>
      <c r="P593">
        <f t="shared" si="54"/>
        <v>0</v>
      </c>
    </row>
    <row r="594" spans="14:16" x14ac:dyDescent="0.25">
      <c r="N594" s="25"/>
      <c r="O594" t="str">
        <f t="shared" si="53"/>
        <v>R 0-3</v>
      </c>
      <c r="P594">
        <f t="shared" si="54"/>
        <v>0</v>
      </c>
    </row>
    <row r="595" spans="14:16" x14ac:dyDescent="0.25">
      <c r="N595" s="25"/>
      <c r="O595" t="str">
        <f t="shared" si="53"/>
        <v>R 0-3</v>
      </c>
      <c r="P595">
        <f t="shared" si="54"/>
        <v>0</v>
      </c>
    </row>
    <row r="596" spans="14:16" x14ac:dyDescent="0.25">
      <c r="N596" s="25"/>
      <c r="O596" t="str">
        <f t="shared" si="53"/>
        <v>R 0-3</v>
      </c>
      <c r="P596">
        <f t="shared" si="54"/>
        <v>0</v>
      </c>
    </row>
    <row r="597" spans="14:16" x14ac:dyDescent="0.25">
      <c r="N597" s="25"/>
      <c r="O597" t="str">
        <f t="shared" si="53"/>
        <v>R 0-3</v>
      </c>
      <c r="P597">
        <f t="shared" si="54"/>
        <v>0</v>
      </c>
    </row>
    <row r="598" spans="14:16" x14ac:dyDescent="0.25">
      <c r="N598" s="25"/>
      <c r="O598" t="str">
        <f t="shared" si="53"/>
        <v>R 0-3</v>
      </c>
      <c r="P598">
        <f t="shared" si="54"/>
        <v>0</v>
      </c>
    </row>
    <row r="599" spans="14:16" x14ac:dyDescent="0.25">
      <c r="N599" s="25"/>
      <c r="O599" t="str">
        <f t="shared" si="53"/>
        <v>R 0-3</v>
      </c>
      <c r="P599">
        <f t="shared" si="54"/>
        <v>0</v>
      </c>
    </row>
    <row r="600" spans="14:16" x14ac:dyDescent="0.25">
      <c r="N600" s="25"/>
      <c r="O600" t="str">
        <f t="shared" si="53"/>
        <v>R 0-3</v>
      </c>
      <c r="P600">
        <f t="shared" si="54"/>
        <v>0</v>
      </c>
    </row>
    <row r="601" spans="14:16" x14ac:dyDescent="0.25">
      <c r="N601" s="25"/>
      <c r="O601" t="str">
        <f t="shared" si="53"/>
        <v>R 0-3</v>
      </c>
      <c r="P601">
        <f t="shared" si="54"/>
        <v>0</v>
      </c>
    </row>
    <row r="602" spans="14:16" x14ac:dyDescent="0.25">
      <c r="N602" s="25"/>
      <c r="O602" t="str">
        <f t="shared" si="53"/>
        <v>R 0-3</v>
      </c>
      <c r="P602">
        <f t="shared" si="54"/>
        <v>0</v>
      </c>
    </row>
    <row r="603" spans="14:16" x14ac:dyDescent="0.25">
      <c r="N603" s="25"/>
      <c r="O603" t="str">
        <f t="shared" si="53"/>
        <v>R 0-3</v>
      </c>
      <c r="P603">
        <f t="shared" si="54"/>
        <v>0</v>
      </c>
    </row>
    <row r="604" spans="14:16" x14ac:dyDescent="0.25">
      <c r="N604" s="25"/>
      <c r="O604" t="str">
        <f t="shared" si="53"/>
        <v>R 0-3</v>
      </c>
      <c r="P604">
        <f t="shared" si="54"/>
        <v>0</v>
      </c>
    </row>
    <row r="605" spans="14:16" x14ac:dyDescent="0.25">
      <c r="N605" s="25"/>
      <c r="O605" t="str">
        <f t="shared" si="53"/>
        <v>R 0-3</v>
      </c>
      <c r="P605">
        <f t="shared" si="54"/>
        <v>0</v>
      </c>
    </row>
    <row r="606" spans="14:16" x14ac:dyDescent="0.25">
      <c r="N606" s="25"/>
      <c r="O606" t="str">
        <f t="shared" si="53"/>
        <v>R 0-3</v>
      </c>
      <c r="P606">
        <f t="shared" si="54"/>
        <v>0</v>
      </c>
    </row>
    <row r="607" spans="14:16" x14ac:dyDescent="0.25">
      <c r="N607" s="26"/>
      <c r="O607" t="str">
        <f t="shared" si="53"/>
        <v>R 0-3</v>
      </c>
      <c r="P607">
        <f t="shared" si="54"/>
        <v>0</v>
      </c>
    </row>
    <row r="608" spans="14:16" x14ac:dyDescent="0.25">
      <c r="N608" s="25"/>
      <c r="O608" t="str">
        <f t="shared" si="53"/>
        <v>R 0-3</v>
      </c>
      <c r="P608">
        <f t="shared" si="54"/>
        <v>0</v>
      </c>
    </row>
    <row r="609" spans="14:16" x14ac:dyDescent="0.25">
      <c r="N609" s="25"/>
      <c r="O609" t="str">
        <f t="shared" si="53"/>
        <v>R 0-3</v>
      </c>
      <c r="P609">
        <f t="shared" si="54"/>
        <v>0</v>
      </c>
    </row>
    <row r="610" spans="14:16" x14ac:dyDescent="0.25">
      <c r="N610" s="25"/>
      <c r="O610" t="str">
        <f t="shared" si="53"/>
        <v>R 0-3</v>
      </c>
      <c r="P610">
        <f t="shared" si="54"/>
        <v>0</v>
      </c>
    </row>
    <row r="611" spans="14:16" x14ac:dyDescent="0.25">
      <c r="N611" s="25"/>
      <c r="O611" t="str">
        <f t="shared" si="53"/>
        <v>R 0-3</v>
      </c>
      <c r="P611">
        <f t="shared" si="54"/>
        <v>0</v>
      </c>
    </row>
    <row r="612" spans="14:16" x14ac:dyDescent="0.25">
      <c r="N612" s="25"/>
      <c r="O612" t="str">
        <f t="shared" si="53"/>
        <v>R 0-3</v>
      </c>
      <c r="P612">
        <f t="shared" si="54"/>
        <v>0</v>
      </c>
    </row>
    <row r="613" spans="14:16" x14ac:dyDescent="0.25">
      <c r="N613" s="25"/>
      <c r="O613" t="str">
        <f t="shared" si="53"/>
        <v>R 0-3</v>
      </c>
      <c r="P613">
        <f t="shared" si="54"/>
        <v>0</v>
      </c>
    </row>
    <row r="614" spans="14:16" x14ac:dyDescent="0.25">
      <c r="N614" s="25"/>
      <c r="O614" t="str">
        <f t="shared" ref="O614:O677" si="55">VLOOKUP(N614,$R$2:$T$15,3,TRUE)</f>
        <v>R 0-3</v>
      </c>
      <c r="P614">
        <f t="shared" si="54"/>
        <v>0</v>
      </c>
    </row>
    <row r="615" spans="14:16" x14ac:dyDescent="0.25">
      <c r="N615" s="25"/>
      <c r="O615" t="str">
        <f t="shared" si="55"/>
        <v>R 0-3</v>
      </c>
      <c r="P615">
        <f t="shared" si="54"/>
        <v>0</v>
      </c>
    </row>
    <row r="616" spans="14:16" x14ac:dyDescent="0.25">
      <c r="N616" s="25"/>
      <c r="O616" t="str">
        <f t="shared" si="55"/>
        <v>R 0-3</v>
      </c>
      <c r="P616">
        <f t="shared" si="54"/>
        <v>0</v>
      </c>
    </row>
    <row r="617" spans="14:16" x14ac:dyDescent="0.25">
      <c r="N617" s="25"/>
      <c r="O617" t="str">
        <f t="shared" si="55"/>
        <v>R 0-3</v>
      </c>
      <c r="P617">
        <f t="shared" si="54"/>
        <v>0</v>
      </c>
    </row>
    <row r="618" spans="14:16" x14ac:dyDescent="0.25">
      <c r="N618" s="25"/>
      <c r="O618" t="str">
        <f t="shared" si="55"/>
        <v>R 0-3</v>
      </c>
      <c r="P618">
        <f t="shared" si="54"/>
        <v>0</v>
      </c>
    </row>
    <row r="619" spans="14:16" x14ac:dyDescent="0.25">
      <c r="N619" s="25"/>
      <c r="O619" t="str">
        <f t="shared" si="55"/>
        <v>R 0-3</v>
      </c>
      <c r="P619">
        <f t="shared" si="54"/>
        <v>0</v>
      </c>
    </row>
    <row r="620" spans="14:16" x14ac:dyDescent="0.25">
      <c r="N620" s="25"/>
      <c r="O620" t="str">
        <f t="shared" si="55"/>
        <v>R 0-3</v>
      </c>
      <c r="P620">
        <f t="shared" si="54"/>
        <v>0</v>
      </c>
    </row>
    <row r="621" spans="14:16" x14ac:dyDescent="0.25">
      <c r="N621" s="25"/>
      <c r="O621" t="str">
        <f t="shared" si="55"/>
        <v>R 0-3</v>
      </c>
      <c r="P621">
        <f t="shared" si="54"/>
        <v>0</v>
      </c>
    </row>
    <row r="622" spans="14:16" x14ac:dyDescent="0.25">
      <c r="N622" s="25"/>
      <c r="O622" t="str">
        <f t="shared" si="55"/>
        <v>R 0-3</v>
      </c>
      <c r="P622">
        <f t="shared" si="54"/>
        <v>0</v>
      </c>
    </row>
    <row r="623" spans="14:16" x14ac:dyDescent="0.25">
      <c r="N623" s="25"/>
      <c r="O623" t="str">
        <f t="shared" si="55"/>
        <v>R 0-3</v>
      </c>
      <c r="P623">
        <f t="shared" si="54"/>
        <v>0</v>
      </c>
    </row>
    <row r="624" spans="14:16" x14ac:dyDescent="0.25">
      <c r="N624" s="25"/>
      <c r="O624" t="str">
        <f t="shared" si="55"/>
        <v>R 0-3</v>
      </c>
      <c r="P624">
        <f t="shared" si="54"/>
        <v>0</v>
      </c>
    </row>
    <row r="625" spans="14:16" x14ac:dyDescent="0.25">
      <c r="N625" s="25"/>
      <c r="O625" t="str">
        <f t="shared" si="55"/>
        <v>R 0-3</v>
      </c>
      <c r="P625">
        <f t="shared" si="54"/>
        <v>0</v>
      </c>
    </row>
    <row r="626" spans="14:16" x14ac:dyDescent="0.25">
      <c r="N626" s="25"/>
      <c r="O626" t="str">
        <f t="shared" si="55"/>
        <v>R 0-3</v>
      </c>
      <c r="P626">
        <f t="shared" si="54"/>
        <v>0</v>
      </c>
    </row>
    <row r="627" spans="14:16" x14ac:dyDescent="0.25">
      <c r="N627" s="25"/>
      <c r="O627" t="str">
        <f t="shared" si="55"/>
        <v>R 0-3</v>
      </c>
      <c r="P627">
        <f t="shared" si="54"/>
        <v>0</v>
      </c>
    </row>
    <row r="628" spans="14:16" x14ac:dyDescent="0.25">
      <c r="N628" s="25"/>
      <c r="O628" t="str">
        <f t="shared" si="55"/>
        <v>R 0-3</v>
      </c>
      <c r="P628">
        <f t="shared" si="54"/>
        <v>0</v>
      </c>
    </row>
    <row r="629" spans="14:16" x14ac:dyDescent="0.25">
      <c r="N629" s="25"/>
      <c r="O629" t="str">
        <f t="shared" si="55"/>
        <v>R 0-3</v>
      </c>
      <c r="P629">
        <f t="shared" si="54"/>
        <v>0</v>
      </c>
    </row>
    <row r="630" spans="14:16" x14ac:dyDescent="0.25">
      <c r="N630" s="25"/>
      <c r="O630" t="str">
        <f t="shared" si="55"/>
        <v>R 0-3</v>
      </c>
      <c r="P630">
        <f t="shared" si="54"/>
        <v>0</v>
      </c>
    </row>
    <row r="631" spans="14:16" x14ac:dyDescent="0.25">
      <c r="N631" s="25"/>
      <c r="O631" t="str">
        <f t="shared" si="55"/>
        <v>R 0-3</v>
      </c>
      <c r="P631">
        <f t="shared" si="54"/>
        <v>0</v>
      </c>
    </row>
    <row r="632" spans="14:16" x14ac:dyDescent="0.25">
      <c r="N632" s="25"/>
      <c r="O632" t="str">
        <f t="shared" si="55"/>
        <v>R 0-3</v>
      </c>
      <c r="P632">
        <f t="shared" si="54"/>
        <v>0</v>
      </c>
    </row>
    <row r="633" spans="14:16" x14ac:dyDescent="0.25">
      <c r="N633" s="25"/>
      <c r="O633" t="str">
        <f t="shared" si="55"/>
        <v>R 0-3</v>
      </c>
      <c r="P633">
        <f t="shared" si="54"/>
        <v>0</v>
      </c>
    </row>
    <row r="634" spans="14:16" x14ac:dyDescent="0.25">
      <c r="N634" s="25"/>
      <c r="O634" t="str">
        <f t="shared" si="55"/>
        <v>R 0-3</v>
      </c>
      <c r="P634">
        <f t="shared" si="54"/>
        <v>0</v>
      </c>
    </row>
    <row r="635" spans="14:16" x14ac:dyDescent="0.25">
      <c r="N635" s="25"/>
      <c r="O635" t="str">
        <f t="shared" si="55"/>
        <v>R 0-3</v>
      </c>
      <c r="P635">
        <f t="shared" si="54"/>
        <v>0</v>
      </c>
    </row>
    <row r="636" spans="14:16" x14ac:dyDescent="0.25">
      <c r="N636" s="25"/>
      <c r="O636" t="str">
        <f t="shared" si="55"/>
        <v>R 0-3</v>
      </c>
      <c r="P636">
        <f t="shared" si="54"/>
        <v>0</v>
      </c>
    </row>
    <row r="637" spans="14:16" x14ac:dyDescent="0.25">
      <c r="N637" s="25"/>
      <c r="O637" t="str">
        <f t="shared" si="55"/>
        <v>R 0-3</v>
      </c>
      <c r="P637">
        <f t="shared" si="54"/>
        <v>0</v>
      </c>
    </row>
    <row r="638" spans="14:16" x14ac:dyDescent="0.25">
      <c r="N638" s="25"/>
      <c r="O638" t="str">
        <f t="shared" si="55"/>
        <v>R 0-3</v>
      </c>
      <c r="P638">
        <f t="shared" si="54"/>
        <v>0</v>
      </c>
    </row>
    <row r="639" spans="14:16" x14ac:dyDescent="0.25">
      <c r="N639" s="25"/>
      <c r="O639" t="str">
        <f t="shared" si="55"/>
        <v>R 0-3</v>
      </c>
      <c r="P639">
        <f t="shared" si="54"/>
        <v>0</v>
      </c>
    </row>
    <row r="640" spans="14:16" x14ac:dyDescent="0.25">
      <c r="N640" s="25"/>
      <c r="O640" t="str">
        <f t="shared" si="55"/>
        <v>R 0-3</v>
      </c>
      <c r="P640">
        <f t="shared" si="54"/>
        <v>0</v>
      </c>
    </row>
    <row r="641" spans="14:16" x14ac:dyDescent="0.25">
      <c r="N641" s="25"/>
      <c r="O641" t="str">
        <f t="shared" si="55"/>
        <v>R 0-3</v>
      </c>
      <c r="P641">
        <f t="shared" si="54"/>
        <v>0</v>
      </c>
    </row>
    <row r="642" spans="14:16" x14ac:dyDescent="0.25">
      <c r="N642" s="25"/>
      <c r="O642" t="str">
        <f t="shared" si="55"/>
        <v>R 0-3</v>
      </c>
      <c r="P642">
        <f t="shared" si="54"/>
        <v>0</v>
      </c>
    </row>
    <row r="643" spans="14:16" x14ac:dyDescent="0.25">
      <c r="N643" s="25"/>
      <c r="O643" t="str">
        <f t="shared" si="55"/>
        <v>R 0-3</v>
      </c>
      <c r="P643">
        <f t="shared" ref="P643:P706" si="56">1*(N643&lt;&gt;0)</f>
        <v>0</v>
      </c>
    </row>
    <row r="644" spans="14:16" x14ac:dyDescent="0.25">
      <c r="N644" s="25"/>
      <c r="O644" t="str">
        <f t="shared" si="55"/>
        <v>R 0-3</v>
      </c>
      <c r="P644">
        <f t="shared" si="56"/>
        <v>0</v>
      </c>
    </row>
    <row r="645" spans="14:16" x14ac:dyDescent="0.25">
      <c r="N645" s="25"/>
      <c r="O645" t="str">
        <f t="shared" si="55"/>
        <v>R 0-3</v>
      </c>
      <c r="P645">
        <f t="shared" si="56"/>
        <v>0</v>
      </c>
    </row>
    <row r="646" spans="14:16" x14ac:dyDescent="0.25">
      <c r="N646" s="25"/>
      <c r="O646" t="str">
        <f t="shared" si="55"/>
        <v>R 0-3</v>
      </c>
      <c r="P646">
        <f t="shared" si="56"/>
        <v>0</v>
      </c>
    </row>
    <row r="647" spans="14:16" x14ac:dyDescent="0.25">
      <c r="N647" s="25"/>
      <c r="O647" t="str">
        <f t="shared" si="55"/>
        <v>R 0-3</v>
      </c>
      <c r="P647">
        <f t="shared" si="56"/>
        <v>0</v>
      </c>
    </row>
    <row r="648" spans="14:16" x14ac:dyDescent="0.25">
      <c r="N648" s="25"/>
      <c r="O648" t="str">
        <f t="shared" si="55"/>
        <v>R 0-3</v>
      </c>
      <c r="P648">
        <f t="shared" si="56"/>
        <v>0</v>
      </c>
    </row>
    <row r="649" spans="14:16" x14ac:dyDescent="0.25">
      <c r="N649" s="25"/>
      <c r="O649" t="str">
        <f t="shared" si="55"/>
        <v>R 0-3</v>
      </c>
      <c r="P649">
        <f t="shared" si="56"/>
        <v>0</v>
      </c>
    </row>
    <row r="650" spans="14:16" x14ac:dyDescent="0.25">
      <c r="N650" s="25"/>
      <c r="O650" t="str">
        <f t="shared" si="55"/>
        <v>R 0-3</v>
      </c>
      <c r="P650">
        <f t="shared" si="56"/>
        <v>0</v>
      </c>
    </row>
    <row r="651" spans="14:16" x14ac:dyDescent="0.25">
      <c r="N651" s="25"/>
      <c r="O651" t="str">
        <f t="shared" si="55"/>
        <v>R 0-3</v>
      </c>
      <c r="P651">
        <f t="shared" si="56"/>
        <v>0</v>
      </c>
    </row>
    <row r="652" spans="14:16" x14ac:dyDescent="0.25">
      <c r="N652" s="25"/>
      <c r="O652" t="str">
        <f t="shared" si="55"/>
        <v>R 0-3</v>
      </c>
      <c r="P652">
        <f t="shared" si="56"/>
        <v>0</v>
      </c>
    </row>
    <row r="653" spans="14:16" x14ac:dyDescent="0.25">
      <c r="N653" s="25"/>
      <c r="O653" t="str">
        <f t="shared" si="55"/>
        <v>R 0-3</v>
      </c>
      <c r="P653">
        <f t="shared" si="56"/>
        <v>0</v>
      </c>
    </row>
    <row r="654" spans="14:16" x14ac:dyDescent="0.25">
      <c r="N654" s="25"/>
      <c r="O654" t="str">
        <f t="shared" si="55"/>
        <v>R 0-3</v>
      </c>
      <c r="P654">
        <f t="shared" si="56"/>
        <v>0</v>
      </c>
    </row>
    <row r="655" spans="14:16" x14ac:dyDescent="0.25">
      <c r="N655" s="25"/>
      <c r="O655" t="str">
        <f t="shared" si="55"/>
        <v>R 0-3</v>
      </c>
      <c r="P655">
        <f t="shared" si="56"/>
        <v>0</v>
      </c>
    </row>
    <row r="656" spans="14:16" x14ac:dyDescent="0.25">
      <c r="N656" s="25"/>
      <c r="O656" t="str">
        <f t="shared" si="55"/>
        <v>R 0-3</v>
      </c>
      <c r="P656">
        <f t="shared" si="56"/>
        <v>0</v>
      </c>
    </row>
    <row r="657" spans="14:16" x14ac:dyDescent="0.25">
      <c r="N657" s="25"/>
      <c r="O657" t="str">
        <f t="shared" si="55"/>
        <v>R 0-3</v>
      </c>
      <c r="P657">
        <f t="shared" si="56"/>
        <v>0</v>
      </c>
    </row>
    <row r="658" spans="14:16" x14ac:dyDescent="0.25">
      <c r="N658" s="25"/>
      <c r="O658" t="str">
        <f t="shared" si="55"/>
        <v>R 0-3</v>
      </c>
      <c r="P658">
        <f t="shared" si="56"/>
        <v>0</v>
      </c>
    </row>
    <row r="659" spans="14:16" x14ac:dyDescent="0.25">
      <c r="N659" s="25"/>
      <c r="O659" t="str">
        <f t="shared" si="55"/>
        <v>R 0-3</v>
      </c>
      <c r="P659">
        <f t="shared" si="56"/>
        <v>0</v>
      </c>
    </row>
    <row r="660" spans="14:16" x14ac:dyDescent="0.25">
      <c r="N660" s="25"/>
      <c r="O660" t="str">
        <f t="shared" si="55"/>
        <v>R 0-3</v>
      </c>
      <c r="P660">
        <f t="shared" si="56"/>
        <v>0</v>
      </c>
    </row>
    <row r="661" spans="14:16" x14ac:dyDescent="0.25">
      <c r="N661" s="25"/>
      <c r="O661" t="str">
        <f t="shared" si="55"/>
        <v>R 0-3</v>
      </c>
      <c r="P661">
        <f t="shared" si="56"/>
        <v>0</v>
      </c>
    </row>
    <row r="662" spans="14:16" x14ac:dyDescent="0.25">
      <c r="N662" s="25"/>
      <c r="O662" t="str">
        <f t="shared" si="55"/>
        <v>R 0-3</v>
      </c>
      <c r="P662">
        <f t="shared" si="56"/>
        <v>0</v>
      </c>
    </row>
    <row r="663" spans="14:16" x14ac:dyDescent="0.25">
      <c r="N663" s="25"/>
      <c r="O663" t="str">
        <f t="shared" si="55"/>
        <v>R 0-3</v>
      </c>
      <c r="P663">
        <f t="shared" si="56"/>
        <v>0</v>
      </c>
    </row>
    <row r="664" spans="14:16" x14ac:dyDescent="0.25">
      <c r="N664" s="25"/>
      <c r="O664" t="str">
        <f t="shared" si="55"/>
        <v>R 0-3</v>
      </c>
      <c r="P664">
        <f t="shared" si="56"/>
        <v>0</v>
      </c>
    </row>
    <row r="665" spans="14:16" x14ac:dyDescent="0.25">
      <c r="N665" s="25"/>
      <c r="O665" t="str">
        <f t="shared" si="55"/>
        <v>R 0-3</v>
      </c>
      <c r="P665">
        <f t="shared" si="56"/>
        <v>0</v>
      </c>
    </row>
    <row r="666" spans="14:16" x14ac:dyDescent="0.25">
      <c r="N666" s="25"/>
      <c r="O666" t="str">
        <f t="shared" si="55"/>
        <v>R 0-3</v>
      </c>
      <c r="P666">
        <f t="shared" si="56"/>
        <v>0</v>
      </c>
    </row>
    <row r="667" spans="14:16" x14ac:dyDescent="0.25">
      <c r="N667" s="25"/>
      <c r="O667" t="str">
        <f t="shared" si="55"/>
        <v>R 0-3</v>
      </c>
      <c r="P667">
        <f t="shared" si="56"/>
        <v>0</v>
      </c>
    </row>
    <row r="668" spans="14:16" x14ac:dyDescent="0.25">
      <c r="N668" s="25"/>
      <c r="O668" t="str">
        <f t="shared" si="55"/>
        <v>R 0-3</v>
      </c>
      <c r="P668">
        <f t="shared" si="56"/>
        <v>0</v>
      </c>
    </row>
    <row r="669" spans="14:16" x14ac:dyDescent="0.25">
      <c r="N669" s="25"/>
      <c r="O669" t="str">
        <f t="shared" si="55"/>
        <v>R 0-3</v>
      </c>
      <c r="P669">
        <f t="shared" si="56"/>
        <v>0</v>
      </c>
    </row>
    <row r="670" spans="14:16" x14ac:dyDescent="0.25">
      <c r="N670" s="25"/>
      <c r="O670" t="str">
        <f t="shared" si="55"/>
        <v>R 0-3</v>
      </c>
      <c r="P670">
        <f t="shared" si="56"/>
        <v>0</v>
      </c>
    </row>
    <row r="671" spans="14:16" x14ac:dyDescent="0.25">
      <c r="N671" s="25"/>
      <c r="O671" t="str">
        <f t="shared" si="55"/>
        <v>R 0-3</v>
      </c>
      <c r="P671">
        <f t="shared" si="56"/>
        <v>0</v>
      </c>
    </row>
    <row r="672" spans="14:16" x14ac:dyDescent="0.25">
      <c r="N672" s="25"/>
      <c r="O672" t="str">
        <f t="shared" si="55"/>
        <v>R 0-3</v>
      </c>
      <c r="P672">
        <f t="shared" si="56"/>
        <v>0</v>
      </c>
    </row>
    <row r="673" spans="14:16" x14ac:dyDescent="0.25">
      <c r="N673" s="25"/>
      <c r="O673" t="str">
        <f t="shared" si="55"/>
        <v>R 0-3</v>
      </c>
      <c r="P673">
        <f t="shared" si="56"/>
        <v>0</v>
      </c>
    </row>
    <row r="674" spans="14:16" x14ac:dyDescent="0.25">
      <c r="N674" s="25"/>
      <c r="O674" t="str">
        <f t="shared" si="55"/>
        <v>R 0-3</v>
      </c>
      <c r="P674">
        <f t="shared" si="56"/>
        <v>0</v>
      </c>
    </row>
    <row r="675" spans="14:16" x14ac:dyDescent="0.25">
      <c r="N675" s="25"/>
      <c r="O675" t="str">
        <f t="shared" si="55"/>
        <v>R 0-3</v>
      </c>
      <c r="P675">
        <f t="shared" si="56"/>
        <v>0</v>
      </c>
    </row>
    <row r="676" spans="14:16" x14ac:dyDescent="0.25">
      <c r="N676" s="25"/>
      <c r="O676" t="str">
        <f t="shared" si="55"/>
        <v>R 0-3</v>
      </c>
      <c r="P676">
        <f t="shared" si="56"/>
        <v>0</v>
      </c>
    </row>
    <row r="677" spans="14:16" x14ac:dyDescent="0.25">
      <c r="N677" s="25"/>
      <c r="O677" t="str">
        <f t="shared" si="55"/>
        <v>R 0-3</v>
      </c>
      <c r="P677">
        <f t="shared" si="56"/>
        <v>0</v>
      </c>
    </row>
    <row r="678" spans="14:16" x14ac:dyDescent="0.25">
      <c r="N678" s="25"/>
      <c r="O678" t="str">
        <f t="shared" ref="O678:O741" si="57">VLOOKUP(N678,$R$2:$T$15,3,TRUE)</f>
        <v>R 0-3</v>
      </c>
      <c r="P678">
        <f t="shared" si="56"/>
        <v>0</v>
      </c>
    </row>
    <row r="679" spans="14:16" x14ac:dyDescent="0.25">
      <c r="N679" s="25"/>
      <c r="O679" t="str">
        <f t="shared" si="57"/>
        <v>R 0-3</v>
      </c>
      <c r="P679">
        <f t="shared" si="56"/>
        <v>0</v>
      </c>
    </row>
    <row r="680" spans="14:16" x14ac:dyDescent="0.25">
      <c r="N680" s="25"/>
      <c r="O680" t="str">
        <f t="shared" si="57"/>
        <v>R 0-3</v>
      </c>
      <c r="P680">
        <f t="shared" si="56"/>
        <v>0</v>
      </c>
    </row>
    <row r="681" spans="14:16" x14ac:dyDescent="0.25">
      <c r="N681" s="25"/>
      <c r="O681" t="str">
        <f t="shared" si="57"/>
        <v>R 0-3</v>
      </c>
      <c r="P681">
        <f t="shared" si="56"/>
        <v>0</v>
      </c>
    </row>
    <row r="682" spans="14:16" x14ac:dyDescent="0.25">
      <c r="N682" s="25"/>
      <c r="O682" t="str">
        <f t="shared" si="57"/>
        <v>R 0-3</v>
      </c>
      <c r="P682">
        <f t="shared" si="56"/>
        <v>0</v>
      </c>
    </row>
    <row r="683" spans="14:16" x14ac:dyDescent="0.25">
      <c r="N683" s="25"/>
      <c r="O683" t="str">
        <f t="shared" si="57"/>
        <v>R 0-3</v>
      </c>
      <c r="P683">
        <f t="shared" si="56"/>
        <v>0</v>
      </c>
    </row>
    <row r="684" spans="14:16" x14ac:dyDescent="0.25">
      <c r="N684" s="25"/>
      <c r="O684" t="str">
        <f t="shared" si="57"/>
        <v>R 0-3</v>
      </c>
      <c r="P684">
        <f t="shared" si="56"/>
        <v>0</v>
      </c>
    </row>
    <row r="685" spans="14:16" x14ac:dyDescent="0.25">
      <c r="N685" s="25"/>
      <c r="O685" t="str">
        <f t="shared" si="57"/>
        <v>R 0-3</v>
      </c>
      <c r="P685">
        <f t="shared" si="56"/>
        <v>0</v>
      </c>
    </row>
    <row r="686" spans="14:16" x14ac:dyDescent="0.25">
      <c r="N686" s="25"/>
      <c r="O686" t="str">
        <f t="shared" si="57"/>
        <v>R 0-3</v>
      </c>
      <c r="P686">
        <f t="shared" si="56"/>
        <v>0</v>
      </c>
    </row>
    <row r="687" spans="14:16" x14ac:dyDescent="0.25">
      <c r="N687" s="25"/>
      <c r="O687" t="str">
        <f t="shared" si="57"/>
        <v>R 0-3</v>
      </c>
      <c r="P687">
        <f t="shared" si="56"/>
        <v>0</v>
      </c>
    </row>
    <row r="688" spans="14:16" x14ac:dyDescent="0.25">
      <c r="N688" s="25"/>
      <c r="O688" t="str">
        <f t="shared" si="57"/>
        <v>R 0-3</v>
      </c>
      <c r="P688">
        <f t="shared" si="56"/>
        <v>0</v>
      </c>
    </row>
    <row r="689" spans="14:16" x14ac:dyDescent="0.25">
      <c r="N689" s="25"/>
      <c r="O689" t="str">
        <f t="shared" si="57"/>
        <v>R 0-3</v>
      </c>
      <c r="P689">
        <f t="shared" si="56"/>
        <v>0</v>
      </c>
    </row>
    <row r="690" spans="14:16" x14ac:dyDescent="0.25">
      <c r="N690" s="25"/>
      <c r="O690" t="str">
        <f t="shared" si="57"/>
        <v>R 0-3</v>
      </c>
      <c r="P690">
        <f t="shared" si="56"/>
        <v>0</v>
      </c>
    </row>
    <row r="691" spans="14:16" x14ac:dyDescent="0.25">
      <c r="N691" s="25"/>
      <c r="O691" t="str">
        <f t="shared" si="57"/>
        <v>R 0-3</v>
      </c>
      <c r="P691">
        <f t="shared" si="56"/>
        <v>0</v>
      </c>
    </row>
    <row r="692" spans="14:16" x14ac:dyDescent="0.25">
      <c r="N692" s="25"/>
      <c r="O692" t="str">
        <f t="shared" si="57"/>
        <v>R 0-3</v>
      </c>
      <c r="P692">
        <f t="shared" si="56"/>
        <v>0</v>
      </c>
    </row>
    <row r="693" spans="14:16" x14ac:dyDescent="0.25">
      <c r="N693" s="25"/>
      <c r="O693" t="str">
        <f t="shared" si="57"/>
        <v>R 0-3</v>
      </c>
      <c r="P693">
        <f t="shared" si="56"/>
        <v>0</v>
      </c>
    </row>
    <row r="694" spans="14:16" x14ac:dyDescent="0.25">
      <c r="N694" s="25"/>
      <c r="O694" t="str">
        <f t="shared" si="57"/>
        <v>R 0-3</v>
      </c>
      <c r="P694">
        <f t="shared" si="56"/>
        <v>0</v>
      </c>
    </row>
    <row r="695" spans="14:16" x14ac:dyDescent="0.25">
      <c r="N695" s="25"/>
      <c r="O695" t="str">
        <f t="shared" si="57"/>
        <v>R 0-3</v>
      </c>
      <c r="P695">
        <f t="shared" si="56"/>
        <v>0</v>
      </c>
    </row>
    <row r="696" spans="14:16" x14ac:dyDescent="0.25">
      <c r="N696" s="25"/>
      <c r="O696" t="str">
        <f t="shared" si="57"/>
        <v>R 0-3</v>
      </c>
      <c r="P696">
        <f t="shared" si="56"/>
        <v>0</v>
      </c>
    </row>
    <row r="697" spans="14:16" x14ac:dyDescent="0.25">
      <c r="N697" s="25"/>
      <c r="O697" t="str">
        <f t="shared" si="57"/>
        <v>R 0-3</v>
      </c>
      <c r="P697">
        <f t="shared" si="56"/>
        <v>0</v>
      </c>
    </row>
    <row r="698" spans="14:16" x14ac:dyDescent="0.25">
      <c r="N698" s="25"/>
      <c r="O698" t="str">
        <f t="shared" si="57"/>
        <v>R 0-3</v>
      </c>
      <c r="P698">
        <f t="shared" si="56"/>
        <v>0</v>
      </c>
    </row>
    <row r="699" spans="14:16" x14ac:dyDescent="0.25">
      <c r="N699" s="25"/>
      <c r="O699" t="str">
        <f t="shared" si="57"/>
        <v>R 0-3</v>
      </c>
      <c r="P699">
        <f t="shared" si="56"/>
        <v>0</v>
      </c>
    </row>
    <row r="700" spans="14:16" x14ac:dyDescent="0.25">
      <c r="N700" s="25"/>
      <c r="O700" t="str">
        <f t="shared" si="57"/>
        <v>R 0-3</v>
      </c>
      <c r="P700">
        <f t="shared" si="56"/>
        <v>0</v>
      </c>
    </row>
    <row r="701" spans="14:16" x14ac:dyDescent="0.25">
      <c r="N701" s="25"/>
      <c r="O701" t="str">
        <f t="shared" si="57"/>
        <v>R 0-3</v>
      </c>
      <c r="P701">
        <f t="shared" si="56"/>
        <v>0</v>
      </c>
    </row>
    <row r="702" spans="14:16" x14ac:dyDescent="0.25">
      <c r="N702" s="25"/>
      <c r="O702" t="str">
        <f t="shared" si="57"/>
        <v>R 0-3</v>
      </c>
      <c r="P702">
        <f t="shared" si="56"/>
        <v>0</v>
      </c>
    </row>
    <row r="703" spans="14:16" x14ac:dyDescent="0.25">
      <c r="N703" s="25"/>
      <c r="O703" t="str">
        <f t="shared" si="57"/>
        <v>R 0-3</v>
      </c>
      <c r="P703">
        <f t="shared" si="56"/>
        <v>0</v>
      </c>
    </row>
    <row r="704" spans="14:16" x14ac:dyDescent="0.25">
      <c r="N704" s="25"/>
      <c r="O704" t="str">
        <f t="shared" si="57"/>
        <v>R 0-3</v>
      </c>
      <c r="P704">
        <f t="shared" si="56"/>
        <v>0</v>
      </c>
    </row>
    <row r="705" spans="14:16" x14ac:dyDescent="0.25">
      <c r="N705" s="25"/>
      <c r="O705" t="str">
        <f t="shared" si="57"/>
        <v>R 0-3</v>
      </c>
      <c r="P705">
        <f t="shared" si="56"/>
        <v>0</v>
      </c>
    </row>
    <row r="706" spans="14:16" x14ac:dyDescent="0.25">
      <c r="N706" s="25"/>
      <c r="O706" t="str">
        <f t="shared" si="57"/>
        <v>R 0-3</v>
      </c>
      <c r="P706">
        <f t="shared" si="56"/>
        <v>0</v>
      </c>
    </row>
    <row r="707" spans="14:16" x14ac:dyDescent="0.25">
      <c r="N707" s="25"/>
      <c r="O707" t="str">
        <f t="shared" si="57"/>
        <v>R 0-3</v>
      </c>
      <c r="P707">
        <f t="shared" ref="P707:P770" si="58">1*(N707&lt;&gt;0)</f>
        <v>0</v>
      </c>
    </row>
    <row r="708" spans="14:16" x14ac:dyDescent="0.25">
      <c r="N708" s="25"/>
      <c r="O708" t="str">
        <f t="shared" si="57"/>
        <v>R 0-3</v>
      </c>
      <c r="P708">
        <f t="shared" si="58"/>
        <v>0</v>
      </c>
    </row>
    <row r="709" spans="14:16" x14ac:dyDescent="0.25">
      <c r="N709" s="25"/>
      <c r="O709" t="str">
        <f t="shared" si="57"/>
        <v>R 0-3</v>
      </c>
      <c r="P709">
        <f t="shared" si="58"/>
        <v>0</v>
      </c>
    </row>
    <row r="710" spans="14:16" x14ac:dyDescent="0.25">
      <c r="N710" s="25"/>
      <c r="O710" t="str">
        <f t="shared" si="57"/>
        <v>R 0-3</v>
      </c>
      <c r="P710">
        <f t="shared" si="58"/>
        <v>0</v>
      </c>
    </row>
    <row r="711" spans="14:16" x14ac:dyDescent="0.25">
      <c r="N711" s="25"/>
      <c r="O711" t="str">
        <f t="shared" si="57"/>
        <v>R 0-3</v>
      </c>
      <c r="P711">
        <f t="shared" si="58"/>
        <v>0</v>
      </c>
    </row>
    <row r="712" spans="14:16" x14ac:dyDescent="0.25">
      <c r="N712" s="25"/>
      <c r="O712" t="str">
        <f t="shared" si="57"/>
        <v>R 0-3</v>
      </c>
      <c r="P712">
        <f t="shared" si="58"/>
        <v>0</v>
      </c>
    </row>
    <row r="713" spans="14:16" x14ac:dyDescent="0.25">
      <c r="N713" s="25"/>
      <c r="O713" t="str">
        <f t="shared" si="57"/>
        <v>R 0-3</v>
      </c>
      <c r="P713">
        <f t="shared" si="58"/>
        <v>0</v>
      </c>
    </row>
    <row r="714" spans="14:16" x14ac:dyDescent="0.25">
      <c r="N714" s="25"/>
      <c r="O714" t="str">
        <f t="shared" si="57"/>
        <v>R 0-3</v>
      </c>
      <c r="P714">
        <f t="shared" si="58"/>
        <v>0</v>
      </c>
    </row>
    <row r="715" spans="14:16" x14ac:dyDescent="0.25">
      <c r="N715" s="25"/>
      <c r="O715" t="str">
        <f t="shared" si="57"/>
        <v>R 0-3</v>
      </c>
      <c r="P715">
        <f t="shared" si="58"/>
        <v>0</v>
      </c>
    </row>
    <row r="716" spans="14:16" x14ac:dyDescent="0.25">
      <c r="N716" s="25"/>
      <c r="O716" t="str">
        <f t="shared" si="57"/>
        <v>R 0-3</v>
      </c>
      <c r="P716">
        <f t="shared" si="58"/>
        <v>0</v>
      </c>
    </row>
    <row r="717" spans="14:16" x14ac:dyDescent="0.25">
      <c r="N717" s="25"/>
      <c r="O717" t="str">
        <f t="shared" si="57"/>
        <v>R 0-3</v>
      </c>
      <c r="P717">
        <f t="shared" si="58"/>
        <v>0</v>
      </c>
    </row>
    <row r="718" spans="14:16" x14ac:dyDescent="0.25">
      <c r="N718" s="25"/>
      <c r="O718" t="str">
        <f t="shared" si="57"/>
        <v>R 0-3</v>
      </c>
      <c r="P718">
        <f t="shared" si="58"/>
        <v>0</v>
      </c>
    </row>
    <row r="719" spans="14:16" x14ac:dyDescent="0.25">
      <c r="N719" s="25"/>
      <c r="O719" t="str">
        <f t="shared" si="57"/>
        <v>R 0-3</v>
      </c>
      <c r="P719">
        <f t="shared" si="58"/>
        <v>0</v>
      </c>
    </row>
    <row r="720" spans="14:16" x14ac:dyDescent="0.25">
      <c r="N720" s="25"/>
      <c r="O720" t="str">
        <f t="shared" si="57"/>
        <v>R 0-3</v>
      </c>
      <c r="P720">
        <f t="shared" si="58"/>
        <v>0</v>
      </c>
    </row>
    <row r="721" spans="14:16" x14ac:dyDescent="0.25">
      <c r="N721" s="25"/>
      <c r="O721" t="str">
        <f t="shared" si="57"/>
        <v>R 0-3</v>
      </c>
      <c r="P721">
        <f t="shared" si="58"/>
        <v>0</v>
      </c>
    </row>
    <row r="722" spans="14:16" x14ac:dyDescent="0.25">
      <c r="N722" s="25"/>
      <c r="O722" t="str">
        <f t="shared" si="57"/>
        <v>R 0-3</v>
      </c>
      <c r="P722">
        <f t="shared" si="58"/>
        <v>0</v>
      </c>
    </row>
    <row r="723" spans="14:16" x14ac:dyDescent="0.25">
      <c r="N723" s="25"/>
      <c r="O723" t="str">
        <f t="shared" si="57"/>
        <v>R 0-3</v>
      </c>
      <c r="P723">
        <f t="shared" si="58"/>
        <v>0</v>
      </c>
    </row>
    <row r="724" spans="14:16" x14ac:dyDescent="0.25">
      <c r="N724" s="25"/>
      <c r="O724" t="str">
        <f t="shared" si="57"/>
        <v>R 0-3</v>
      </c>
      <c r="P724">
        <f t="shared" si="58"/>
        <v>0</v>
      </c>
    </row>
    <row r="725" spans="14:16" x14ac:dyDescent="0.25">
      <c r="N725" s="25"/>
      <c r="O725" t="str">
        <f t="shared" si="57"/>
        <v>R 0-3</v>
      </c>
      <c r="P725">
        <f t="shared" si="58"/>
        <v>0</v>
      </c>
    </row>
    <row r="726" spans="14:16" x14ac:dyDescent="0.25">
      <c r="N726" s="25"/>
      <c r="O726" t="str">
        <f t="shared" si="57"/>
        <v>R 0-3</v>
      </c>
      <c r="P726">
        <f t="shared" si="58"/>
        <v>0</v>
      </c>
    </row>
    <row r="727" spans="14:16" x14ac:dyDescent="0.25">
      <c r="N727" s="25"/>
      <c r="O727" t="str">
        <f t="shared" si="57"/>
        <v>R 0-3</v>
      </c>
      <c r="P727">
        <f t="shared" si="58"/>
        <v>0</v>
      </c>
    </row>
    <row r="728" spans="14:16" x14ac:dyDescent="0.25">
      <c r="N728" s="25"/>
      <c r="O728" t="str">
        <f t="shared" si="57"/>
        <v>R 0-3</v>
      </c>
      <c r="P728">
        <f t="shared" si="58"/>
        <v>0</v>
      </c>
    </row>
    <row r="729" spans="14:16" x14ac:dyDescent="0.25">
      <c r="N729" s="25"/>
      <c r="O729" t="str">
        <f t="shared" si="57"/>
        <v>R 0-3</v>
      </c>
      <c r="P729">
        <f t="shared" si="58"/>
        <v>0</v>
      </c>
    </row>
    <row r="730" spans="14:16" x14ac:dyDescent="0.25">
      <c r="N730" s="25"/>
      <c r="O730" t="str">
        <f t="shared" si="57"/>
        <v>R 0-3</v>
      </c>
      <c r="P730">
        <f t="shared" si="58"/>
        <v>0</v>
      </c>
    </row>
    <row r="731" spans="14:16" x14ac:dyDescent="0.25">
      <c r="N731" s="25"/>
      <c r="O731" t="str">
        <f t="shared" si="57"/>
        <v>R 0-3</v>
      </c>
      <c r="P731">
        <f t="shared" si="58"/>
        <v>0</v>
      </c>
    </row>
    <row r="732" spans="14:16" x14ac:dyDescent="0.25">
      <c r="N732" s="25"/>
      <c r="O732" t="str">
        <f t="shared" si="57"/>
        <v>R 0-3</v>
      </c>
      <c r="P732">
        <f t="shared" si="58"/>
        <v>0</v>
      </c>
    </row>
    <row r="733" spans="14:16" x14ac:dyDescent="0.25">
      <c r="N733" s="25"/>
      <c r="O733" t="str">
        <f t="shared" si="57"/>
        <v>R 0-3</v>
      </c>
      <c r="P733">
        <f t="shared" si="58"/>
        <v>0</v>
      </c>
    </row>
    <row r="734" spans="14:16" x14ac:dyDescent="0.25">
      <c r="N734" s="25"/>
      <c r="O734" t="str">
        <f t="shared" si="57"/>
        <v>R 0-3</v>
      </c>
      <c r="P734">
        <f t="shared" si="58"/>
        <v>0</v>
      </c>
    </row>
    <row r="735" spans="14:16" x14ac:dyDescent="0.25">
      <c r="N735" s="25"/>
      <c r="O735" t="str">
        <f t="shared" si="57"/>
        <v>R 0-3</v>
      </c>
      <c r="P735">
        <f t="shared" si="58"/>
        <v>0</v>
      </c>
    </row>
    <row r="736" spans="14:16" x14ac:dyDescent="0.25">
      <c r="N736" s="25"/>
      <c r="O736" t="str">
        <f t="shared" si="57"/>
        <v>R 0-3</v>
      </c>
      <c r="P736">
        <f t="shared" si="58"/>
        <v>0</v>
      </c>
    </row>
    <row r="737" spans="14:16" x14ac:dyDescent="0.25">
      <c r="N737" s="25"/>
      <c r="O737" t="str">
        <f t="shared" si="57"/>
        <v>R 0-3</v>
      </c>
      <c r="P737">
        <f t="shared" si="58"/>
        <v>0</v>
      </c>
    </row>
    <row r="738" spans="14:16" x14ac:dyDescent="0.25">
      <c r="N738" s="25"/>
      <c r="O738" t="str">
        <f t="shared" si="57"/>
        <v>R 0-3</v>
      </c>
      <c r="P738">
        <f t="shared" si="58"/>
        <v>0</v>
      </c>
    </row>
    <row r="739" spans="14:16" x14ac:dyDescent="0.25">
      <c r="N739" s="25"/>
      <c r="O739" t="str">
        <f t="shared" si="57"/>
        <v>R 0-3</v>
      </c>
      <c r="P739">
        <f t="shared" si="58"/>
        <v>0</v>
      </c>
    </row>
    <row r="740" spans="14:16" x14ac:dyDescent="0.25">
      <c r="N740" s="25"/>
      <c r="O740" t="str">
        <f t="shared" si="57"/>
        <v>R 0-3</v>
      </c>
      <c r="P740">
        <f t="shared" si="58"/>
        <v>0</v>
      </c>
    </row>
    <row r="741" spans="14:16" x14ac:dyDescent="0.25">
      <c r="N741" s="25"/>
      <c r="O741" t="str">
        <f t="shared" si="57"/>
        <v>R 0-3</v>
      </c>
      <c r="P741">
        <f t="shared" si="58"/>
        <v>0</v>
      </c>
    </row>
    <row r="742" spans="14:16" x14ac:dyDescent="0.25">
      <c r="N742" s="25"/>
      <c r="O742" t="str">
        <f t="shared" ref="O742:O805" si="59">VLOOKUP(N742,$R$2:$T$15,3,TRUE)</f>
        <v>R 0-3</v>
      </c>
      <c r="P742">
        <f t="shared" si="58"/>
        <v>0</v>
      </c>
    </row>
    <row r="743" spans="14:16" x14ac:dyDescent="0.25">
      <c r="N743" s="25"/>
      <c r="O743" t="str">
        <f t="shared" si="59"/>
        <v>R 0-3</v>
      </c>
      <c r="P743">
        <f t="shared" si="58"/>
        <v>0</v>
      </c>
    </row>
    <row r="744" spans="14:16" x14ac:dyDescent="0.25">
      <c r="N744" s="25"/>
      <c r="O744" t="str">
        <f t="shared" si="59"/>
        <v>R 0-3</v>
      </c>
      <c r="P744">
        <f t="shared" si="58"/>
        <v>0</v>
      </c>
    </row>
    <row r="745" spans="14:16" x14ac:dyDescent="0.25">
      <c r="N745" s="25"/>
      <c r="O745" t="str">
        <f t="shared" si="59"/>
        <v>R 0-3</v>
      </c>
      <c r="P745">
        <f t="shared" si="58"/>
        <v>0</v>
      </c>
    </row>
    <row r="746" spans="14:16" x14ac:dyDescent="0.25">
      <c r="N746" s="25"/>
      <c r="O746" t="str">
        <f t="shared" si="59"/>
        <v>R 0-3</v>
      </c>
      <c r="P746">
        <f t="shared" si="58"/>
        <v>0</v>
      </c>
    </row>
    <row r="747" spans="14:16" x14ac:dyDescent="0.25">
      <c r="N747" s="25"/>
      <c r="O747" t="str">
        <f t="shared" si="59"/>
        <v>R 0-3</v>
      </c>
      <c r="P747">
        <f t="shared" si="58"/>
        <v>0</v>
      </c>
    </row>
    <row r="748" spans="14:16" x14ac:dyDescent="0.25">
      <c r="N748" s="25"/>
      <c r="O748" t="str">
        <f t="shared" si="59"/>
        <v>R 0-3</v>
      </c>
      <c r="P748">
        <f t="shared" si="58"/>
        <v>0</v>
      </c>
    </row>
    <row r="749" spans="14:16" x14ac:dyDescent="0.25">
      <c r="N749" s="25"/>
      <c r="O749" t="str">
        <f t="shared" si="59"/>
        <v>R 0-3</v>
      </c>
      <c r="P749">
        <f t="shared" si="58"/>
        <v>0</v>
      </c>
    </row>
    <row r="750" spans="14:16" x14ac:dyDescent="0.25">
      <c r="N750" s="25"/>
      <c r="O750" t="str">
        <f t="shared" si="59"/>
        <v>R 0-3</v>
      </c>
      <c r="P750">
        <f t="shared" si="58"/>
        <v>0</v>
      </c>
    </row>
    <row r="751" spans="14:16" x14ac:dyDescent="0.25">
      <c r="N751" s="25"/>
      <c r="O751" t="str">
        <f t="shared" si="59"/>
        <v>R 0-3</v>
      </c>
      <c r="P751">
        <f t="shared" si="58"/>
        <v>0</v>
      </c>
    </row>
    <row r="752" spans="14:16" x14ac:dyDescent="0.25">
      <c r="N752" s="25"/>
      <c r="O752" t="str">
        <f t="shared" si="59"/>
        <v>R 0-3</v>
      </c>
      <c r="P752">
        <f t="shared" si="58"/>
        <v>0</v>
      </c>
    </row>
    <row r="753" spans="14:16" x14ac:dyDescent="0.25">
      <c r="N753" s="25"/>
      <c r="O753" t="str">
        <f t="shared" si="59"/>
        <v>R 0-3</v>
      </c>
      <c r="P753">
        <f t="shared" si="58"/>
        <v>0</v>
      </c>
    </row>
    <row r="754" spans="14:16" x14ac:dyDescent="0.25">
      <c r="N754" s="25"/>
      <c r="O754" t="str">
        <f t="shared" si="59"/>
        <v>R 0-3</v>
      </c>
      <c r="P754">
        <f t="shared" si="58"/>
        <v>0</v>
      </c>
    </row>
    <row r="755" spans="14:16" x14ac:dyDescent="0.25">
      <c r="N755" s="25"/>
      <c r="O755" t="str">
        <f t="shared" si="59"/>
        <v>R 0-3</v>
      </c>
      <c r="P755">
        <f t="shared" si="58"/>
        <v>0</v>
      </c>
    </row>
    <row r="756" spans="14:16" x14ac:dyDescent="0.25">
      <c r="N756" s="25"/>
      <c r="O756" t="str">
        <f t="shared" si="59"/>
        <v>R 0-3</v>
      </c>
      <c r="P756">
        <f t="shared" si="58"/>
        <v>0</v>
      </c>
    </row>
    <row r="757" spans="14:16" x14ac:dyDescent="0.25">
      <c r="N757" s="25"/>
      <c r="O757" t="str">
        <f t="shared" si="59"/>
        <v>R 0-3</v>
      </c>
      <c r="P757">
        <f t="shared" si="58"/>
        <v>0</v>
      </c>
    </row>
    <row r="758" spans="14:16" x14ac:dyDescent="0.25">
      <c r="N758" s="25"/>
      <c r="O758" t="str">
        <f t="shared" si="59"/>
        <v>R 0-3</v>
      </c>
      <c r="P758">
        <f t="shared" si="58"/>
        <v>0</v>
      </c>
    </row>
    <row r="759" spans="14:16" x14ac:dyDescent="0.25">
      <c r="N759" s="25"/>
      <c r="O759" t="str">
        <f t="shared" si="59"/>
        <v>R 0-3</v>
      </c>
      <c r="P759">
        <f t="shared" si="58"/>
        <v>0</v>
      </c>
    </row>
    <row r="760" spans="14:16" x14ac:dyDescent="0.25">
      <c r="N760" s="25"/>
      <c r="O760" t="str">
        <f t="shared" si="59"/>
        <v>R 0-3</v>
      </c>
      <c r="P760">
        <f t="shared" si="58"/>
        <v>0</v>
      </c>
    </row>
    <row r="761" spans="14:16" x14ac:dyDescent="0.25">
      <c r="N761" s="25"/>
      <c r="O761" t="str">
        <f t="shared" si="59"/>
        <v>R 0-3</v>
      </c>
      <c r="P761">
        <f t="shared" si="58"/>
        <v>0</v>
      </c>
    </row>
    <row r="762" spans="14:16" x14ac:dyDescent="0.25">
      <c r="N762" s="25"/>
      <c r="O762" t="str">
        <f t="shared" si="59"/>
        <v>R 0-3</v>
      </c>
      <c r="P762">
        <f t="shared" si="58"/>
        <v>0</v>
      </c>
    </row>
    <row r="763" spans="14:16" x14ac:dyDescent="0.25">
      <c r="N763" s="25"/>
      <c r="O763" t="str">
        <f t="shared" si="59"/>
        <v>R 0-3</v>
      </c>
      <c r="P763">
        <f t="shared" si="58"/>
        <v>0</v>
      </c>
    </row>
    <row r="764" spans="14:16" x14ac:dyDescent="0.25">
      <c r="N764" s="25"/>
      <c r="O764" t="str">
        <f t="shared" si="59"/>
        <v>R 0-3</v>
      </c>
      <c r="P764">
        <f t="shared" si="58"/>
        <v>0</v>
      </c>
    </row>
    <row r="765" spans="14:16" x14ac:dyDescent="0.25">
      <c r="N765" s="25"/>
      <c r="O765" t="str">
        <f t="shared" si="59"/>
        <v>R 0-3</v>
      </c>
      <c r="P765">
        <f t="shared" si="58"/>
        <v>0</v>
      </c>
    </row>
    <row r="766" spans="14:16" x14ac:dyDescent="0.25">
      <c r="N766" s="25"/>
      <c r="O766" t="str">
        <f t="shared" si="59"/>
        <v>R 0-3</v>
      </c>
      <c r="P766">
        <f t="shared" si="58"/>
        <v>0</v>
      </c>
    </row>
    <row r="767" spans="14:16" x14ac:dyDescent="0.25">
      <c r="N767" s="25"/>
      <c r="O767" t="str">
        <f t="shared" si="59"/>
        <v>R 0-3</v>
      </c>
      <c r="P767">
        <f t="shared" si="58"/>
        <v>0</v>
      </c>
    </row>
    <row r="768" spans="14:16" x14ac:dyDescent="0.25">
      <c r="N768" s="25"/>
      <c r="O768" t="str">
        <f t="shared" si="59"/>
        <v>R 0-3</v>
      </c>
      <c r="P768">
        <f t="shared" si="58"/>
        <v>0</v>
      </c>
    </row>
    <row r="769" spans="14:16" x14ac:dyDescent="0.25">
      <c r="N769" s="25"/>
      <c r="O769" t="str">
        <f t="shared" si="59"/>
        <v>R 0-3</v>
      </c>
      <c r="P769">
        <f t="shared" si="58"/>
        <v>0</v>
      </c>
    </row>
    <row r="770" spans="14:16" x14ac:dyDescent="0.25">
      <c r="N770" s="25"/>
      <c r="O770" t="str">
        <f t="shared" si="59"/>
        <v>R 0-3</v>
      </c>
      <c r="P770">
        <f t="shared" si="58"/>
        <v>0</v>
      </c>
    </row>
    <row r="771" spans="14:16" x14ac:dyDescent="0.25">
      <c r="N771" s="25"/>
      <c r="O771" t="str">
        <f t="shared" si="59"/>
        <v>R 0-3</v>
      </c>
      <c r="P771">
        <f t="shared" ref="P771:P834" si="60">1*(N771&lt;&gt;0)</f>
        <v>0</v>
      </c>
    </row>
    <row r="772" spans="14:16" x14ac:dyDescent="0.25">
      <c r="N772" s="25"/>
      <c r="O772" t="str">
        <f t="shared" si="59"/>
        <v>R 0-3</v>
      </c>
      <c r="P772">
        <f t="shared" si="60"/>
        <v>0</v>
      </c>
    </row>
    <row r="773" spans="14:16" x14ac:dyDescent="0.25">
      <c r="N773" s="25"/>
      <c r="O773" t="str">
        <f t="shared" si="59"/>
        <v>R 0-3</v>
      </c>
      <c r="P773">
        <f t="shared" si="60"/>
        <v>0</v>
      </c>
    </row>
    <row r="774" spans="14:16" x14ac:dyDescent="0.25">
      <c r="N774" s="25"/>
      <c r="O774" t="str">
        <f t="shared" si="59"/>
        <v>R 0-3</v>
      </c>
      <c r="P774">
        <f t="shared" si="60"/>
        <v>0</v>
      </c>
    </row>
    <row r="775" spans="14:16" x14ac:dyDescent="0.25">
      <c r="N775" s="25"/>
      <c r="O775" t="str">
        <f t="shared" si="59"/>
        <v>R 0-3</v>
      </c>
      <c r="P775">
        <f t="shared" si="60"/>
        <v>0</v>
      </c>
    </row>
    <row r="776" spans="14:16" x14ac:dyDescent="0.25">
      <c r="N776" s="25"/>
      <c r="O776" t="str">
        <f t="shared" si="59"/>
        <v>R 0-3</v>
      </c>
      <c r="P776">
        <f t="shared" si="60"/>
        <v>0</v>
      </c>
    </row>
    <row r="777" spans="14:16" x14ac:dyDescent="0.25">
      <c r="N777" s="25"/>
      <c r="O777" t="str">
        <f t="shared" si="59"/>
        <v>R 0-3</v>
      </c>
      <c r="P777">
        <f t="shared" si="60"/>
        <v>0</v>
      </c>
    </row>
    <row r="778" spans="14:16" x14ac:dyDescent="0.25">
      <c r="N778" s="25"/>
      <c r="O778" t="str">
        <f t="shared" si="59"/>
        <v>R 0-3</v>
      </c>
      <c r="P778">
        <f t="shared" si="60"/>
        <v>0</v>
      </c>
    </row>
    <row r="779" spans="14:16" x14ac:dyDescent="0.25">
      <c r="N779" s="25"/>
      <c r="O779" t="str">
        <f t="shared" si="59"/>
        <v>R 0-3</v>
      </c>
      <c r="P779">
        <f t="shared" si="60"/>
        <v>0</v>
      </c>
    </row>
    <row r="780" spans="14:16" x14ac:dyDescent="0.25">
      <c r="N780" s="25"/>
      <c r="O780" t="str">
        <f t="shared" si="59"/>
        <v>R 0-3</v>
      </c>
      <c r="P780">
        <f t="shared" si="60"/>
        <v>0</v>
      </c>
    </row>
    <row r="781" spans="14:16" x14ac:dyDescent="0.25">
      <c r="N781" s="25"/>
      <c r="O781" t="str">
        <f t="shared" si="59"/>
        <v>R 0-3</v>
      </c>
      <c r="P781">
        <f t="shared" si="60"/>
        <v>0</v>
      </c>
    </row>
    <row r="782" spans="14:16" x14ac:dyDescent="0.25">
      <c r="N782" s="25"/>
      <c r="O782" t="str">
        <f t="shared" si="59"/>
        <v>R 0-3</v>
      </c>
      <c r="P782">
        <f t="shared" si="60"/>
        <v>0</v>
      </c>
    </row>
    <row r="783" spans="14:16" x14ac:dyDescent="0.25">
      <c r="N783" s="25"/>
      <c r="O783" t="str">
        <f t="shared" si="59"/>
        <v>R 0-3</v>
      </c>
      <c r="P783">
        <f t="shared" si="60"/>
        <v>0</v>
      </c>
    </row>
    <row r="784" spans="14:16" x14ac:dyDescent="0.25">
      <c r="N784" s="25"/>
      <c r="O784" t="str">
        <f t="shared" si="59"/>
        <v>R 0-3</v>
      </c>
      <c r="P784">
        <f t="shared" si="60"/>
        <v>0</v>
      </c>
    </row>
    <row r="785" spans="14:16" x14ac:dyDescent="0.25">
      <c r="N785" s="25"/>
      <c r="O785" t="str">
        <f t="shared" si="59"/>
        <v>R 0-3</v>
      </c>
      <c r="P785">
        <f t="shared" si="60"/>
        <v>0</v>
      </c>
    </row>
    <row r="786" spans="14:16" x14ac:dyDescent="0.25">
      <c r="N786" s="25"/>
      <c r="O786" t="str">
        <f t="shared" si="59"/>
        <v>R 0-3</v>
      </c>
      <c r="P786">
        <f t="shared" si="60"/>
        <v>0</v>
      </c>
    </row>
    <row r="787" spans="14:16" x14ac:dyDescent="0.25">
      <c r="N787" s="25"/>
      <c r="O787" t="str">
        <f t="shared" si="59"/>
        <v>R 0-3</v>
      </c>
      <c r="P787">
        <f t="shared" si="60"/>
        <v>0</v>
      </c>
    </row>
    <row r="788" spans="14:16" x14ac:dyDescent="0.25">
      <c r="N788" s="25"/>
      <c r="O788" t="str">
        <f t="shared" si="59"/>
        <v>R 0-3</v>
      </c>
      <c r="P788">
        <f t="shared" si="60"/>
        <v>0</v>
      </c>
    </row>
    <row r="789" spans="14:16" x14ac:dyDescent="0.25">
      <c r="N789" s="25"/>
      <c r="O789" t="str">
        <f t="shared" si="59"/>
        <v>R 0-3</v>
      </c>
      <c r="P789">
        <f t="shared" si="60"/>
        <v>0</v>
      </c>
    </row>
    <row r="790" spans="14:16" x14ac:dyDescent="0.25">
      <c r="N790" s="25"/>
      <c r="O790" t="str">
        <f t="shared" si="59"/>
        <v>R 0-3</v>
      </c>
      <c r="P790">
        <f t="shared" si="60"/>
        <v>0</v>
      </c>
    </row>
    <row r="791" spans="14:16" x14ac:dyDescent="0.25">
      <c r="N791" s="25"/>
      <c r="O791" t="str">
        <f t="shared" si="59"/>
        <v>R 0-3</v>
      </c>
      <c r="P791">
        <f t="shared" si="60"/>
        <v>0</v>
      </c>
    </row>
    <row r="792" spans="14:16" x14ac:dyDescent="0.25">
      <c r="N792" s="25"/>
      <c r="O792" t="str">
        <f t="shared" si="59"/>
        <v>R 0-3</v>
      </c>
      <c r="P792">
        <f t="shared" si="60"/>
        <v>0</v>
      </c>
    </row>
    <row r="793" spans="14:16" x14ac:dyDescent="0.25">
      <c r="N793" s="25"/>
      <c r="O793" t="str">
        <f t="shared" si="59"/>
        <v>R 0-3</v>
      </c>
      <c r="P793">
        <f t="shared" si="60"/>
        <v>0</v>
      </c>
    </row>
    <row r="794" spans="14:16" x14ac:dyDescent="0.25">
      <c r="N794" s="25"/>
      <c r="O794" t="str">
        <f t="shared" si="59"/>
        <v>R 0-3</v>
      </c>
      <c r="P794">
        <f t="shared" si="60"/>
        <v>0</v>
      </c>
    </row>
    <row r="795" spans="14:16" x14ac:dyDescent="0.25">
      <c r="N795" s="25"/>
      <c r="O795" t="str">
        <f t="shared" si="59"/>
        <v>R 0-3</v>
      </c>
      <c r="P795">
        <f t="shared" si="60"/>
        <v>0</v>
      </c>
    </row>
    <row r="796" spans="14:16" x14ac:dyDescent="0.25">
      <c r="N796" s="25"/>
      <c r="O796" t="str">
        <f t="shared" si="59"/>
        <v>R 0-3</v>
      </c>
      <c r="P796">
        <f t="shared" si="60"/>
        <v>0</v>
      </c>
    </row>
    <row r="797" spans="14:16" x14ac:dyDescent="0.25">
      <c r="N797" s="25"/>
      <c r="O797" t="str">
        <f t="shared" si="59"/>
        <v>R 0-3</v>
      </c>
      <c r="P797">
        <f t="shared" si="60"/>
        <v>0</v>
      </c>
    </row>
    <row r="798" spans="14:16" x14ac:dyDescent="0.25">
      <c r="N798" s="25"/>
      <c r="O798" t="str">
        <f t="shared" si="59"/>
        <v>R 0-3</v>
      </c>
      <c r="P798">
        <f t="shared" si="60"/>
        <v>0</v>
      </c>
    </row>
    <row r="799" spans="14:16" x14ac:dyDescent="0.25">
      <c r="N799" s="25"/>
      <c r="O799" t="str">
        <f t="shared" si="59"/>
        <v>R 0-3</v>
      </c>
      <c r="P799">
        <f t="shared" si="60"/>
        <v>0</v>
      </c>
    </row>
    <row r="800" spans="14:16" x14ac:dyDescent="0.25">
      <c r="N800" s="25"/>
      <c r="O800" t="str">
        <f t="shared" si="59"/>
        <v>R 0-3</v>
      </c>
      <c r="P800">
        <f t="shared" si="60"/>
        <v>0</v>
      </c>
    </row>
    <row r="801" spans="14:16" x14ac:dyDescent="0.25">
      <c r="N801" s="25"/>
      <c r="O801" t="str">
        <f t="shared" si="59"/>
        <v>R 0-3</v>
      </c>
      <c r="P801">
        <f t="shared" si="60"/>
        <v>0</v>
      </c>
    </row>
    <row r="802" spans="14:16" x14ac:dyDescent="0.25">
      <c r="N802" s="25"/>
      <c r="O802" t="str">
        <f t="shared" si="59"/>
        <v>R 0-3</v>
      </c>
      <c r="P802">
        <f t="shared" si="60"/>
        <v>0</v>
      </c>
    </row>
    <row r="803" spans="14:16" x14ac:dyDescent="0.25">
      <c r="N803" s="25"/>
      <c r="O803" t="str">
        <f t="shared" si="59"/>
        <v>R 0-3</v>
      </c>
      <c r="P803">
        <f t="shared" si="60"/>
        <v>0</v>
      </c>
    </row>
    <row r="804" spans="14:16" x14ac:dyDescent="0.25">
      <c r="N804" s="25"/>
      <c r="O804" t="str">
        <f t="shared" si="59"/>
        <v>R 0-3</v>
      </c>
      <c r="P804">
        <f t="shared" si="60"/>
        <v>0</v>
      </c>
    </row>
    <row r="805" spans="14:16" x14ac:dyDescent="0.25">
      <c r="N805" s="25"/>
      <c r="O805" t="str">
        <f t="shared" si="59"/>
        <v>R 0-3</v>
      </c>
      <c r="P805">
        <f t="shared" si="60"/>
        <v>0</v>
      </c>
    </row>
    <row r="806" spans="14:16" x14ac:dyDescent="0.25">
      <c r="N806" s="25"/>
      <c r="O806" t="str">
        <f t="shared" ref="O806:O869" si="61">VLOOKUP(N806,$R$2:$T$15,3,TRUE)</f>
        <v>R 0-3</v>
      </c>
      <c r="P806">
        <f t="shared" si="60"/>
        <v>0</v>
      </c>
    </row>
    <row r="807" spans="14:16" x14ac:dyDescent="0.25">
      <c r="N807" s="25"/>
      <c r="O807" t="str">
        <f t="shared" si="61"/>
        <v>R 0-3</v>
      </c>
      <c r="P807">
        <f t="shared" si="60"/>
        <v>0</v>
      </c>
    </row>
    <row r="808" spans="14:16" x14ac:dyDescent="0.25">
      <c r="N808" s="25"/>
      <c r="O808" t="str">
        <f t="shared" si="61"/>
        <v>R 0-3</v>
      </c>
      <c r="P808">
        <f t="shared" si="60"/>
        <v>0</v>
      </c>
    </row>
    <row r="809" spans="14:16" x14ac:dyDescent="0.25">
      <c r="N809" s="25"/>
      <c r="O809" t="str">
        <f t="shared" si="61"/>
        <v>R 0-3</v>
      </c>
      <c r="P809">
        <f t="shared" si="60"/>
        <v>0</v>
      </c>
    </row>
    <row r="810" spans="14:16" x14ac:dyDescent="0.25">
      <c r="N810" s="25"/>
      <c r="O810" t="str">
        <f t="shared" si="61"/>
        <v>R 0-3</v>
      </c>
      <c r="P810">
        <f t="shared" si="60"/>
        <v>0</v>
      </c>
    </row>
    <row r="811" spans="14:16" x14ac:dyDescent="0.25">
      <c r="N811" s="25"/>
      <c r="O811" t="str">
        <f t="shared" si="61"/>
        <v>R 0-3</v>
      </c>
      <c r="P811">
        <f t="shared" si="60"/>
        <v>0</v>
      </c>
    </row>
    <row r="812" spans="14:16" x14ac:dyDescent="0.25">
      <c r="N812" s="25"/>
      <c r="O812" t="str">
        <f t="shared" si="61"/>
        <v>R 0-3</v>
      </c>
      <c r="P812">
        <f t="shared" si="60"/>
        <v>0</v>
      </c>
    </row>
    <row r="813" spans="14:16" x14ac:dyDescent="0.25">
      <c r="N813" s="25"/>
      <c r="O813" t="str">
        <f t="shared" si="61"/>
        <v>R 0-3</v>
      </c>
      <c r="P813">
        <f t="shared" si="60"/>
        <v>0</v>
      </c>
    </row>
    <row r="814" spans="14:16" x14ac:dyDescent="0.25">
      <c r="N814" s="25"/>
      <c r="O814" t="str">
        <f t="shared" si="61"/>
        <v>R 0-3</v>
      </c>
      <c r="P814">
        <f t="shared" si="60"/>
        <v>0</v>
      </c>
    </row>
    <row r="815" spans="14:16" x14ac:dyDescent="0.25">
      <c r="N815" s="25"/>
      <c r="O815" t="str">
        <f t="shared" si="61"/>
        <v>R 0-3</v>
      </c>
      <c r="P815">
        <f t="shared" si="60"/>
        <v>0</v>
      </c>
    </row>
    <row r="816" spans="14:16" x14ac:dyDescent="0.25">
      <c r="N816" s="25"/>
      <c r="O816" t="str">
        <f t="shared" si="61"/>
        <v>R 0-3</v>
      </c>
      <c r="P816">
        <f t="shared" si="60"/>
        <v>0</v>
      </c>
    </row>
    <row r="817" spans="14:16" x14ac:dyDescent="0.25">
      <c r="N817" s="25"/>
      <c r="O817" t="str">
        <f t="shared" si="61"/>
        <v>R 0-3</v>
      </c>
      <c r="P817">
        <f t="shared" si="60"/>
        <v>0</v>
      </c>
    </row>
    <row r="818" spans="14:16" x14ac:dyDescent="0.25">
      <c r="N818" s="25"/>
      <c r="O818" t="str">
        <f t="shared" si="61"/>
        <v>R 0-3</v>
      </c>
      <c r="P818">
        <f t="shared" si="60"/>
        <v>0</v>
      </c>
    </row>
    <row r="819" spans="14:16" x14ac:dyDescent="0.25">
      <c r="N819" s="25"/>
      <c r="O819" t="str">
        <f t="shared" si="61"/>
        <v>R 0-3</v>
      </c>
      <c r="P819">
        <f t="shared" si="60"/>
        <v>0</v>
      </c>
    </row>
    <row r="820" spans="14:16" x14ac:dyDescent="0.25">
      <c r="N820" s="25"/>
      <c r="O820" t="str">
        <f t="shared" si="61"/>
        <v>R 0-3</v>
      </c>
      <c r="P820">
        <f t="shared" si="60"/>
        <v>0</v>
      </c>
    </row>
    <row r="821" spans="14:16" x14ac:dyDescent="0.25">
      <c r="N821" s="25"/>
      <c r="O821" t="str">
        <f t="shared" si="61"/>
        <v>R 0-3</v>
      </c>
      <c r="P821">
        <f t="shared" si="60"/>
        <v>0</v>
      </c>
    </row>
    <row r="822" spans="14:16" x14ac:dyDescent="0.25">
      <c r="N822" s="25"/>
      <c r="O822" t="str">
        <f t="shared" si="61"/>
        <v>R 0-3</v>
      </c>
      <c r="P822">
        <f t="shared" si="60"/>
        <v>0</v>
      </c>
    </row>
    <row r="823" spans="14:16" x14ac:dyDescent="0.25">
      <c r="N823" s="25"/>
      <c r="O823" t="str">
        <f t="shared" si="61"/>
        <v>R 0-3</v>
      </c>
      <c r="P823">
        <f t="shared" si="60"/>
        <v>0</v>
      </c>
    </row>
    <row r="824" spans="14:16" x14ac:dyDescent="0.25">
      <c r="N824" s="25"/>
      <c r="O824" t="str">
        <f t="shared" si="61"/>
        <v>R 0-3</v>
      </c>
      <c r="P824">
        <f t="shared" si="60"/>
        <v>0</v>
      </c>
    </row>
    <row r="825" spans="14:16" x14ac:dyDescent="0.25">
      <c r="N825" s="25"/>
      <c r="O825" t="str">
        <f t="shared" si="61"/>
        <v>R 0-3</v>
      </c>
      <c r="P825">
        <f t="shared" si="60"/>
        <v>0</v>
      </c>
    </row>
    <row r="826" spans="14:16" x14ac:dyDescent="0.25">
      <c r="N826" s="25"/>
      <c r="O826" t="str">
        <f t="shared" si="61"/>
        <v>R 0-3</v>
      </c>
      <c r="P826">
        <f t="shared" si="60"/>
        <v>0</v>
      </c>
    </row>
    <row r="827" spans="14:16" x14ac:dyDescent="0.25">
      <c r="N827" s="25"/>
      <c r="O827" t="str">
        <f t="shared" si="61"/>
        <v>R 0-3</v>
      </c>
      <c r="P827">
        <f t="shared" si="60"/>
        <v>0</v>
      </c>
    </row>
    <row r="828" spans="14:16" x14ac:dyDescent="0.25">
      <c r="N828" s="25"/>
      <c r="O828" t="str">
        <f t="shared" si="61"/>
        <v>R 0-3</v>
      </c>
      <c r="P828">
        <f t="shared" si="60"/>
        <v>0</v>
      </c>
    </row>
    <row r="829" spans="14:16" x14ac:dyDescent="0.25">
      <c r="N829" s="25"/>
      <c r="O829" t="str">
        <f t="shared" si="61"/>
        <v>R 0-3</v>
      </c>
      <c r="P829">
        <f t="shared" si="60"/>
        <v>0</v>
      </c>
    </row>
    <row r="830" spans="14:16" x14ac:dyDescent="0.25">
      <c r="N830" s="25"/>
      <c r="O830" t="str">
        <f t="shared" si="61"/>
        <v>R 0-3</v>
      </c>
      <c r="P830">
        <f t="shared" si="60"/>
        <v>0</v>
      </c>
    </row>
    <row r="831" spans="14:16" x14ac:dyDescent="0.25">
      <c r="N831" s="25"/>
      <c r="O831" t="str">
        <f t="shared" si="61"/>
        <v>R 0-3</v>
      </c>
      <c r="P831">
        <f t="shared" si="60"/>
        <v>0</v>
      </c>
    </row>
    <row r="832" spans="14:16" x14ac:dyDescent="0.25">
      <c r="N832" s="25"/>
      <c r="O832" t="str">
        <f t="shared" si="61"/>
        <v>R 0-3</v>
      </c>
      <c r="P832">
        <f t="shared" si="60"/>
        <v>0</v>
      </c>
    </row>
    <row r="833" spans="14:16" x14ac:dyDescent="0.25">
      <c r="N833" s="25"/>
      <c r="O833" t="str">
        <f t="shared" si="61"/>
        <v>R 0-3</v>
      </c>
      <c r="P833">
        <f t="shared" si="60"/>
        <v>0</v>
      </c>
    </row>
    <row r="834" spans="14:16" x14ac:dyDescent="0.25">
      <c r="N834" s="25"/>
      <c r="O834" t="str">
        <f t="shared" si="61"/>
        <v>R 0-3</v>
      </c>
      <c r="P834">
        <f t="shared" si="60"/>
        <v>0</v>
      </c>
    </row>
    <row r="835" spans="14:16" x14ac:dyDescent="0.25">
      <c r="N835" s="25"/>
      <c r="O835" t="str">
        <f t="shared" si="61"/>
        <v>R 0-3</v>
      </c>
      <c r="P835">
        <f t="shared" ref="P835:P898" si="62">1*(N835&lt;&gt;0)</f>
        <v>0</v>
      </c>
    </row>
    <row r="836" spans="14:16" x14ac:dyDescent="0.25">
      <c r="N836" s="25"/>
      <c r="O836" t="str">
        <f t="shared" si="61"/>
        <v>R 0-3</v>
      </c>
      <c r="P836">
        <f t="shared" si="62"/>
        <v>0</v>
      </c>
    </row>
    <row r="837" spans="14:16" x14ac:dyDescent="0.25">
      <c r="N837" s="25"/>
      <c r="O837" t="str">
        <f t="shared" si="61"/>
        <v>R 0-3</v>
      </c>
      <c r="P837">
        <f t="shared" si="62"/>
        <v>0</v>
      </c>
    </row>
    <row r="838" spans="14:16" x14ac:dyDescent="0.25">
      <c r="N838" s="25"/>
      <c r="O838" t="str">
        <f t="shared" si="61"/>
        <v>R 0-3</v>
      </c>
      <c r="P838">
        <f t="shared" si="62"/>
        <v>0</v>
      </c>
    </row>
    <row r="839" spans="14:16" x14ac:dyDescent="0.25">
      <c r="N839" s="25"/>
      <c r="O839" t="str">
        <f t="shared" si="61"/>
        <v>R 0-3</v>
      </c>
      <c r="P839">
        <f t="shared" si="62"/>
        <v>0</v>
      </c>
    </row>
    <row r="840" spans="14:16" x14ac:dyDescent="0.25">
      <c r="N840" s="25"/>
      <c r="O840" t="str">
        <f t="shared" si="61"/>
        <v>R 0-3</v>
      </c>
      <c r="P840">
        <f t="shared" si="62"/>
        <v>0</v>
      </c>
    </row>
    <row r="841" spans="14:16" x14ac:dyDescent="0.25">
      <c r="N841" s="25"/>
      <c r="O841" t="str">
        <f t="shared" si="61"/>
        <v>R 0-3</v>
      </c>
      <c r="P841">
        <f t="shared" si="62"/>
        <v>0</v>
      </c>
    </row>
    <row r="842" spans="14:16" x14ac:dyDescent="0.25">
      <c r="N842" s="25"/>
      <c r="O842" t="str">
        <f t="shared" si="61"/>
        <v>R 0-3</v>
      </c>
      <c r="P842">
        <f t="shared" si="62"/>
        <v>0</v>
      </c>
    </row>
    <row r="843" spans="14:16" x14ac:dyDescent="0.25">
      <c r="N843" s="25"/>
      <c r="O843" t="str">
        <f t="shared" si="61"/>
        <v>R 0-3</v>
      </c>
      <c r="P843">
        <f t="shared" si="62"/>
        <v>0</v>
      </c>
    </row>
    <row r="844" spans="14:16" x14ac:dyDescent="0.25">
      <c r="N844" s="25"/>
      <c r="O844" t="str">
        <f t="shared" si="61"/>
        <v>R 0-3</v>
      </c>
      <c r="P844">
        <f t="shared" si="62"/>
        <v>0</v>
      </c>
    </row>
    <row r="845" spans="14:16" x14ac:dyDescent="0.25">
      <c r="N845" s="25"/>
      <c r="O845" t="str">
        <f t="shared" si="61"/>
        <v>R 0-3</v>
      </c>
      <c r="P845">
        <f t="shared" si="62"/>
        <v>0</v>
      </c>
    </row>
    <row r="846" spans="14:16" x14ac:dyDescent="0.25">
      <c r="N846" s="25"/>
      <c r="O846" t="str">
        <f t="shared" si="61"/>
        <v>R 0-3</v>
      </c>
      <c r="P846">
        <f t="shared" si="62"/>
        <v>0</v>
      </c>
    </row>
    <row r="847" spans="14:16" x14ac:dyDescent="0.25">
      <c r="N847" s="25"/>
      <c r="O847" t="str">
        <f t="shared" si="61"/>
        <v>R 0-3</v>
      </c>
      <c r="P847">
        <f t="shared" si="62"/>
        <v>0</v>
      </c>
    </row>
    <row r="848" spans="14:16" x14ac:dyDescent="0.25">
      <c r="N848" s="25"/>
      <c r="O848" t="str">
        <f t="shared" si="61"/>
        <v>R 0-3</v>
      </c>
      <c r="P848">
        <f t="shared" si="62"/>
        <v>0</v>
      </c>
    </row>
    <row r="849" spans="14:16" x14ac:dyDescent="0.25">
      <c r="N849" s="25"/>
      <c r="O849" t="str">
        <f t="shared" si="61"/>
        <v>R 0-3</v>
      </c>
      <c r="P849">
        <f t="shared" si="62"/>
        <v>0</v>
      </c>
    </row>
    <row r="850" spans="14:16" x14ac:dyDescent="0.25">
      <c r="N850" s="25"/>
      <c r="O850" t="str">
        <f t="shared" si="61"/>
        <v>R 0-3</v>
      </c>
      <c r="P850">
        <f t="shared" si="62"/>
        <v>0</v>
      </c>
    </row>
    <row r="851" spans="14:16" x14ac:dyDescent="0.25">
      <c r="N851" s="25"/>
      <c r="O851" t="str">
        <f t="shared" si="61"/>
        <v>R 0-3</v>
      </c>
      <c r="P851">
        <f t="shared" si="62"/>
        <v>0</v>
      </c>
    </row>
    <row r="852" spans="14:16" x14ac:dyDescent="0.25">
      <c r="N852" s="25"/>
      <c r="O852" t="str">
        <f t="shared" si="61"/>
        <v>R 0-3</v>
      </c>
      <c r="P852">
        <f t="shared" si="62"/>
        <v>0</v>
      </c>
    </row>
    <row r="853" spans="14:16" x14ac:dyDescent="0.25">
      <c r="N853" s="25"/>
      <c r="O853" t="str">
        <f t="shared" si="61"/>
        <v>R 0-3</v>
      </c>
      <c r="P853">
        <f t="shared" si="62"/>
        <v>0</v>
      </c>
    </row>
    <row r="854" spans="14:16" x14ac:dyDescent="0.25">
      <c r="N854" s="25"/>
      <c r="O854" t="str">
        <f t="shared" si="61"/>
        <v>R 0-3</v>
      </c>
      <c r="P854">
        <f t="shared" si="62"/>
        <v>0</v>
      </c>
    </row>
    <row r="855" spans="14:16" x14ac:dyDescent="0.25">
      <c r="N855" s="25"/>
      <c r="O855" t="str">
        <f t="shared" si="61"/>
        <v>R 0-3</v>
      </c>
      <c r="P855">
        <f t="shared" si="62"/>
        <v>0</v>
      </c>
    </row>
    <row r="856" spans="14:16" x14ac:dyDescent="0.25">
      <c r="N856" s="25"/>
      <c r="O856" t="str">
        <f t="shared" si="61"/>
        <v>R 0-3</v>
      </c>
      <c r="P856">
        <f t="shared" si="62"/>
        <v>0</v>
      </c>
    </row>
    <row r="857" spans="14:16" x14ac:dyDescent="0.25">
      <c r="N857" s="25"/>
      <c r="O857" t="str">
        <f t="shared" si="61"/>
        <v>R 0-3</v>
      </c>
      <c r="P857">
        <f t="shared" si="62"/>
        <v>0</v>
      </c>
    </row>
    <row r="858" spans="14:16" x14ac:dyDescent="0.25">
      <c r="N858" s="25"/>
      <c r="O858" t="str">
        <f t="shared" si="61"/>
        <v>R 0-3</v>
      </c>
      <c r="P858">
        <f t="shared" si="62"/>
        <v>0</v>
      </c>
    </row>
    <row r="859" spans="14:16" x14ac:dyDescent="0.25">
      <c r="N859" s="25"/>
      <c r="O859" t="str">
        <f t="shared" si="61"/>
        <v>R 0-3</v>
      </c>
      <c r="P859">
        <f t="shared" si="62"/>
        <v>0</v>
      </c>
    </row>
    <row r="860" spans="14:16" x14ac:dyDescent="0.25">
      <c r="N860" s="25"/>
      <c r="O860" t="str">
        <f t="shared" si="61"/>
        <v>R 0-3</v>
      </c>
      <c r="P860">
        <f t="shared" si="62"/>
        <v>0</v>
      </c>
    </row>
    <row r="861" spans="14:16" x14ac:dyDescent="0.25">
      <c r="N861" s="25"/>
      <c r="O861" t="str">
        <f t="shared" si="61"/>
        <v>R 0-3</v>
      </c>
      <c r="P861">
        <f t="shared" si="62"/>
        <v>0</v>
      </c>
    </row>
    <row r="862" spans="14:16" x14ac:dyDescent="0.25">
      <c r="N862" s="25"/>
      <c r="O862" t="str">
        <f t="shared" si="61"/>
        <v>R 0-3</v>
      </c>
      <c r="P862">
        <f t="shared" si="62"/>
        <v>0</v>
      </c>
    </row>
    <row r="863" spans="14:16" x14ac:dyDescent="0.25">
      <c r="N863" s="25"/>
      <c r="O863" t="str">
        <f t="shared" si="61"/>
        <v>R 0-3</v>
      </c>
      <c r="P863">
        <f t="shared" si="62"/>
        <v>0</v>
      </c>
    </row>
    <row r="864" spans="14:16" x14ac:dyDescent="0.25">
      <c r="N864" s="25"/>
      <c r="O864" t="str">
        <f t="shared" si="61"/>
        <v>R 0-3</v>
      </c>
      <c r="P864">
        <f t="shared" si="62"/>
        <v>0</v>
      </c>
    </row>
    <row r="865" spans="14:16" x14ac:dyDescent="0.25">
      <c r="N865" s="25"/>
      <c r="O865" t="str">
        <f t="shared" si="61"/>
        <v>R 0-3</v>
      </c>
      <c r="P865">
        <f t="shared" si="62"/>
        <v>0</v>
      </c>
    </row>
    <row r="866" spans="14:16" x14ac:dyDescent="0.25">
      <c r="N866" s="25"/>
      <c r="O866" t="str">
        <f t="shared" si="61"/>
        <v>R 0-3</v>
      </c>
      <c r="P866">
        <f t="shared" si="62"/>
        <v>0</v>
      </c>
    </row>
    <row r="867" spans="14:16" x14ac:dyDescent="0.25">
      <c r="N867" s="25"/>
      <c r="O867" t="str">
        <f t="shared" si="61"/>
        <v>R 0-3</v>
      </c>
      <c r="P867">
        <f t="shared" si="62"/>
        <v>0</v>
      </c>
    </row>
    <row r="868" spans="14:16" x14ac:dyDescent="0.25">
      <c r="N868" s="25"/>
      <c r="O868" t="str">
        <f t="shared" si="61"/>
        <v>R 0-3</v>
      </c>
      <c r="P868">
        <f t="shared" si="62"/>
        <v>0</v>
      </c>
    </row>
    <row r="869" spans="14:16" x14ac:dyDescent="0.25">
      <c r="N869" s="25"/>
      <c r="O869" t="str">
        <f t="shared" si="61"/>
        <v>R 0-3</v>
      </c>
      <c r="P869">
        <f t="shared" si="62"/>
        <v>0</v>
      </c>
    </row>
    <row r="870" spans="14:16" x14ac:dyDescent="0.25">
      <c r="N870" s="25"/>
      <c r="O870" t="str">
        <f t="shared" ref="O870:O933" si="63">VLOOKUP(N870,$R$2:$T$15,3,TRUE)</f>
        <v>R 0-3</v>
      </c>
      <c r="P870">
        <f t="shared" si="62"/>
        <v>0</v>
      </c>
    </row>
    <row r="871" spans="14:16" x14ac:dyDescent="0.25">
      <c r="N871" s="25"/>
      <c r="O871" t="str">
        <f t="shared" si="63"/>
        <v>R 0-3</v>
      </c>
      <c r="P871">
        <f t="shared" si="62"/>
        <v>0</v>
      </c>
    </row>
    <row r="872" spans="14:16" x14ac:dyDescent="0.25">
      <c r="N872" s="25"/>
      <c r="O872" t="str">
        <f t="shared" si="63"/>
        <v>R 0-3</v>
      </c>
      <c r="P872">
        <f t="shared" si="62"/>
        <v>0</v>
      </c>
    </row>
    <row r="873" spans="14:16" x14ac:dyDescent="0.25">
      <c r="N873" s="25"/>
      <c r="O873" t="str">
        <f t="shared" si="63"/>
        <v>R 0-3</v>
      </c>
      <c r="P873">
        <f t="shared" si="62"/>
        <v>0</v>
      </c>
    </row>
    <row r="874" spans="14:16" x14ac:dyDescent="0.25">
      <c r="N874" s="25"/>
      <c r="O874" t="str">
        <f t="shared" si="63"/>
        <v>R 0-3</v>
      </c>
      <c r="P874">
        <f t="shared" si="62"/>
        <v>0</v>
      </c>
    </row>
    <row r="875" spans="14:16" x14ac:dyDescent="0.25">
      <c r="N875" s="25"/>
      <c r="O875" t="str">
        <f t="shared" si="63"/>
        <v>R 0-3</v>
      </c>
      <c r="P875">
        <f t="shared" si="62"/>
        <v>0</v>
      </c>
    </row>
    <row r="876" spans="14:16" x14ac:dyDescent="0.25">
      <c r="N876" s="25"/>
      <c r="O876" t="str">
        <f t="shared" si="63"/>
        <v>R 0-3</v>
      </c>
      <c r="P876">
        <f t="shared" si="62"/>
        <v>0</v>
      </c>
    </row>
    <row r="877" spans="14:16" x14ac:dyDescent="0.25">
      <c r="N877" s="25"/>
      <c r="O877" t="str">
        <f t="shared" si="63"/>
        <v>R 0-3</v>
      </c>
      <c r="P877">
        <f t="shared" si="62"/>
        <v>0</v>
      </c>
    </row>
    <row r="878" spans="14:16" x14ac:dyDescent="0.25">
      <c r="N878" s="25"/>
      <c r="O878" t="str">
        <f t="shared" si="63"/>
        <v>R 0-3</v>
      </c>
      <c r="P878">
        <f t="shared" si="62"/>
        <v>0</v>
      </c>
    </row>
    <row r="879" spans="14:16" x14ac:dyDescent="0.25">
      <c r="N879" s="25"/>
      <c r="O879" t="str">
        <f t="shared" si="63"/>
        <v>R 0-3</v>
      </c>
      <c r="P879">
        <f t="shared" si="62"/>
        <v>0</v>
      </c>
    </row>
    <row r="880" spans="14:16" x14ac:dyDescent="0.25">
      <c r="N880" s="25"/>
      <c r="O880" t="str">
        <f t="shared" si="63"/>
        <v>R 0-3</v>
      </c>
      <c r="P880">
        <f t="shared" si="62"/>
        <v>0</v>
      </c>
    </row>
    <row r="881" spans="14:16" x14ac:dyDescent="0.25">
      <c r="N881" s="25"/>
      <c r="O881" t="str">
        <f t="shared" si="63"/>
        <v>R 0-3</v>
      </c>
      <c r="P881">
        <f t="shared" si="62"/>
        <v>0</v>
      </c>
    </row>
    <row r="882" spans="14:16" x14ac:dyDescent="0.25">
      <c r="N882" s="25"/>
      <c r="O882" t="str">
        <f t="shared" si="63"/>
        <v>R 0-3</v>
      </c>
      <c r="P882">
        <f t="shared" si="62"/>
        <v>0</v>
      </c>
    </row>
    <row r="883" spans="14:16" x14ac:dyDescent="0.25">
      <c r="N883" s="25"/>
      <c r="O883" t="str">
        <f t="shared" si="63"/>
        <v>R 0-3</v>
      </c>
      <c r="P883">
        <f t="shared" si="62"/>
        <v>0</v>
      </c>
    </row>
    <row r="884" spans="14:16" x14ac:dyDescent="0.25">
      <c r="N884" s="25"/>
      <c r="O884" t="str">
        <f t="shared" si="63"/>
        <v>R 0-3</v>
      </c>
      <c r="P884">
        <f t="shared" si="62"/>
        <v>0</v>
      </c>
    </row>
    <row r="885" spans="14:16" x14ac:dyDescent="0.25">
      <c r="N885" s="25"/>
      <c r="O885" t="str">
        <f t="shared" si="63"/>
        <v>R 0-3</v>
      </c>
      <c r="P885">
        <f t="shared" si="62"/>
        <v>0</v>
      </c>
    </row>
    <row r="886" spans="14:16" x14ac:dyDescent="0.25">
      <c r="N886" s="25"/>
      <c r="O886" t="str">
        <f t="shared" si="63"/>
        <v>R 0-3</v>
      </c>
      <c r="P886">
        <f t="shared" si="62"/>
        <v>0</v>
      </c>
    </row>
    <row r="887" spans="14:16" x14ac:dyDescent="0.25">
      <c r="N887" s="25"/>
      <c r="O887" t="str">
        <f t="shared" si="63"/>
        <v>R 0-3</v>
      </c>
      <c r="P887">
        <f t="shared" si="62"/>
        <v>0</v>
      </c>
    </row>
    <row r="888" spans="14:16" x14ac:dyDescent="0.25">
      <c r="N888" s="25"/>
      <c r="O888" t="str">
        <f t="shared" si="63"/>
        <v>R 0-3</v>
      </c>
      <c r="P888">
        <f t="shared" si="62"/>
        <v>0</v>
      </c>
    </row>
    <row r="889" spans="14:16" x14ac:dyDescent="0.25">
      <c r="N889" s="25"/>
      <c r="O889" t="str">
        <f t="shared" si="63"/>
        <v>R 0-3</v>
      </c>
      <c r="P889">
        <f t="shared" si="62"/>
        <v>0</v>
      </c>
    </row>
    <row r="890" spans="14:16" x14ac:dyDescent="0.25">
      <c r="N890" s="25"/>
      <c r="O890" t="str">
        <f t="shared" si="63"/>
        <v>R 0-3</v>
      </c>
      <c r="P890">
        <f t="shared" si="62"/>
        <v>0</v>
      </c>
    </row>
    <row r="891" spans="14:16" x14ac:dyDescent="0.25">
      <c r="N891" s="25"/>
      <c r="O891" t="str">
        <f t="shared" si="63"/>
        <v>R 0-3</v>
      </c>
      <c r="P891">
        <f t="shared" si="62"/>
        <v>0</v>
      </c>
    </row>
    <row r="892" spans="14:16" x14ac:dyDescent="0.25">
      <c r="N892" s="25"/>
      <c r="O892" t="str">
        <f t="shared" si="63"/>
        <v>R 0-3</v>
      </c>
      <c r="P892">
        <f t="shared" si="62"/>
        <v>0</v>
      </c>
    </row>
    <row r="893" spans="14:16" x14ac:dyDescent="0.25">
      <c r="N893" s="25"/>
      <c r="O893" t="str">
        <f t="shared" si="63"/>
        <v>R 0-3</v>
      </c>
      <c r="P893">
        <f t="shared" si="62"/>
        <v>0</v>
      </c>
    </row>
    <row r="894" spans="14:16" x14ac:dyDescent="0.25">
      <c r="N894" s="25"/>
      <c r="O894" t="str">
        <f t="shared" si="63"/>
        <v>R 0-3</v>
      </c>
      <c r="P894">
        <f t="shared" si="62"/>
        <v>0</v>
      </c>
    </row>
    <row r="895" spans="14:16" x14ac:dyDescent="0.25">
      <c r="N895" s="25"/>
      <c r="O895" t="str">
        <f t="shared" si="63"/>
        <v>R 0-3</v>
      </c>
      <c r="P895">
        <f t="shared" si="62"/>
        <v>0</v>
      </c>
    </row>
    <row r="896" spans="14:16" x14ac:dyDescent="0.25">
      <c r="N896" s="25"/>
      <c r="O896" t="str">
        <f t="shared" si="63"/>
        <v>R 0-3</v>
      </c>
      <c r="P896">
        <f t="shared" si="62"/>
        <v>0</v>
      </c>
    </row>
    <row r="897" spans="14:16" x14ac:dyDescent="0.25">
      <c r="N897" s="25"/>
      <c r="O897" t="str">
        <f t="shared" si="63"/>
        <v>R 0-3</v>
      </c>
      <c r="P897">
        <f t="shared" si="62"/>
        <v>0</v>
      </c>
    </row>
    <row r="898" spans="14:16" x14ac:dyDescent="0.25">
      <c r="N898" s="25"/>
      <c r="O898" t="str">
        <f t="shared" si="63"/>
        <v>R 0-3</v>
      </c>
      <c r="P898">
        <f t="shared" si="62"/>
        <v>0</v>
      </c>
    </row>
    <row r="899" spans="14:16" x14ac:dyDescent="0.25">
      <c r="N899" s="25"/>
      <c r="O899" t="str">
        <f t="shared" si="63"/>
        <v>R 0-3</v>
      </c>
      <c r="P899">
        <f t="shared" ref="P899:P962" si="64">1*(N899&lt;&gt;0)</f>
        <v>0</v>
      </c>
    </row>
    <row r="900" spans="14:16" x14ac:dyDescent="0.25">
      <c r="N900" s="25"/>
      <c r="O900" t="str">
        <f t="shared" si="63"/>
        <v>R 0-3</v>
      </c>
      <c r="P900">
        <f t="shared" si="64"/>
        <v>0</v>
      </c>
    </row>
    <row r="901" spans="14:16" x14ac:dyDescent="0.25">
      <c r="N901" s="25"/>
      <c r="O901" t="str">
        <f t="shared" si="63"/>
        <v>R 0-3</v>
      </c>
      <c r="P901">
        <f t="shared" si="64"/>
        <v>0</v>
      </c>
    </row>
    <row r="902" spans="14:16" x14ac:dyDescent="0.25">
      <c r="N902" s="25"/>
      <c r="O902" t="str">
        <f t="shared" si="63"/>
        <v>R 0-3</v>
      </c>
      <c r="P902">
        <f t="shared" si="64"/>
        <v>0</v>
      </c>
    </row>
    <row r="903" spans="14:16" x14ac:dyDescent="0.25">
      <c r="N903" s="25"/>
      <c r="O903" t="str">
        <f t="shared" si="63"/>
        <v>R 0-3</v>
      </c>
      <c r="P903">
        <f t="shared" si="64"/>
        <v>0</v>
      </c>
    </row>
    <row r="904" spans="14:16" x14ac:dyDescent="0.25">
      <c r="N904" s="25"/>
      <c r="O904" t="str">
        <f t="shared" si="63"/>
        <v>R 0-3</v>
      </c>
      <c r="P904">
        <f t="shared" si="64"/>
        <v>0</v>
      </c>
    </row>
    <row r="905" spans="14:16" x14ac:dyDescent="0.25">
      <c r="N905" s="25"/>
      <c r="O905" t="str">
        <f t="shared" si="63"/>
        <v>R 0-3</v>
      </c>
      <c r="P905">
        <f t="shared" si="64"/>
        <v>0</v>
      </c>
    </row>
    <row r="906" spans="14:16" x14ac:dyDescent="0.25">
      <c r="N906" s="25"/>
      <c r="O906" t="str">
        <f t="shared" si="63"/>
        <v>R 0-3</v>
      </c>
      <c r="P906">
        <f t="shared" si="64"/>
        <v>0</v>
      </c>
    </row>
    <row r="907" spans="14:16" x14ac:dyDescent="0.25">
      <c r="N907" s="26"/>
      <c r="O907" t="str">
        <f t="shared" si="63"/>
        <v>R 0-3</v>
      </c>
      <c r="P907">
        <f t="shared" si="64"/>
        <v>0</v>
      </c>
    </row>
    <row r="908" spans="14:16" x14ac:dyDescent="0.25">
      <c r="N908" s="25"/>
      <c r="O908" t="str">
        <f t="shared" si="63"/>
        <v>R 0-3</v>
      </c>
      <c r="P908">
        <f t="shared" si="64"/>
        <v>0</v>
      </c>
    </row>
    <row r="909" spans="14:16" x14ac:dyDescent="0.25">
      <c r="N909" s="25"/>
      <c r="O909" t="str">
        <f t="shared" si="63"/>
        <v>R 0-3</v>
      </c>
      <c r="P909">
        <f t="shared" si="64"/>
        <v>0</v>
      </c>
    </row>
    <row r="910" spans="14:16" x14ac:dyDescent="0.25">
      <c r="N910" s="25"/>
      <c r="O910" t="str">
        <f t="shared" si="63"/>
        <v>R 0-3</v>
      </c>
      <c r="P910">
        <f t="shared" si="64"/>
        <v>0</v>
      </c>
    </row>
    <row r="911" spans="14:16" x14ac:dyDescent="0.25">
      <c r="N911" s="25"/>
      <c r="O911" t="str">
        <f t="shared" si="63"/>
        <v>R 0-3</v>
      </c>
      <c r="P911">
        <f t="shared" si="64"/>
        <v>0</v>
      </c>
    </row>
    <row r="912" spans="14:16" x14ac:dyDescent="0.25">
      <c r="N912" s="25"/>
      <c r="O912" t="str">
        <f t="shared" si="63"/>
        <v>R 0-3</v>
      </c>
      <c r="P912">
        <f t="shared" si="64"/>
        <v>0</v>
      </c>
    </row>
    <row r="913" spans="14:16" x14ac:dyDescent="0.25">
      <c r="N913" s="25"/>
      <c r="O913" t="str">
        <f t="shared" si="63"/>
        <v>R 0-3</v>
      </c>
      <c r="P913">
        <f t="shared" si="64"/>
        <v>0</v>
      </c>
    </row>
    <row r="914" spans="14:16" x14ac:dyDescent="0.25">
      <c r="N914" s="25"/>
      <c r="O914" t="str">
        <f t="shared" si="63"/>
        <v>R 0-3</v>
      </c>
      <c r="P914">
        <f t="shared" si="64"/>
        <v>0</v>
      </c>
    </row>
    <row r="915" spans="14:16" x14ac:dyDescent="0.25">
      <c r="N915" s="25"/>
      <c r="O915" t="str">
        <f t="shared" si="63"/>
        <v>R 0-3</v>
      </c>
      <c r="P915">
        <f t="shared" si="64"/>
        <v>0</v>
      </c>
    </row>
    <row r="916" spans="14:16" x14ac:dyDescent="0.25">
      <c r="N916" s="25"/>
      <c r="O916" t="str">
        <f t="shared" si="63"/>
        <v>R 0-3</v>
      </c>
      <c r="P916">
        <f t="shared" si="64"/>
        <v>0</v>
      </c>
    </row>
    <row r="917" spans="14:16" x14ac:dyDescent="0.25">
      <c r="N917" s="25"/>
      <c r="O917" t="str">
        <f t="shared" si="63"/>
        <v>R 0-3</v>
      </c>
      <c r="P917">
        <f t="shared" si="64"/>
        <v>0</v>
      </c>
    </row>
    <row r="918" spans="14:16" x14ac:dyDescent="0.25">
      <c r="N918" s="25"/>
      <c r="O918" t="str">
        <f t="shared" si="63"/>
        <v>R 0-3</v>
      </c>
      <c r="P918">
        <f t="shared" si="64"/>
        <v>0</v>
      </c>
    </row>
    <row r="919" spans="14:16" x14ac:dyDescent="0.25">
      <c r="N919" s="25"/>
      <c r="O919" t="str">
        <f t="shared" si="63"/>
        <v>R 0-3</v>
      </c>
      <c r="P919">
        <f t="shared" si="64"/>
        <v>0</v>
      </c>
    </row>
    <row r="920" spans="14:16" x14ac:dyDescent="0.25">
      <c r="N920" s="25"/>
      <c r="O920" t="str">
        <f t="shared" si="63"/>
        <v>R 0-3</v>
      </c>
      <c r="P920">
        <f t="shared" si="64"/>
        <v>0</v>
      </c>
    </row>
    <row r="921" spans="14:16" x14ac:dyDescent="0.25">
      <c r="N921" s="25"/>
      <c r="O921" t="str">
        <f t="shared" si="63"/>
        <v>R 0-3</v>
      </c>
      <c r="P921">
        <f t="shared" si="64"/>
        <v>0</v>
      </c>
    </row>
    <row r="922" spans="14:16" x14ac:dyDescent="0.25">
      <c r="N922" s="25"/>
      <c r="O922" t="str">
        <f t="shared" si="63"/>
        <v>R 0-3</v>
      </c>
      <c r="P922">
        <f t="shared" si="64"/>
        <v>0</v>
      </c>
    </row>
    <row r="923" spans="14:16" x14ac:dyDescent="0.25">
      <c r="N923" s="25"/>
      <c r="O923" t="str">
        <f t="shared" si="63"/>
        <v>R 0-3</v>
      </c>
      <c r="P923">
        <f t="shared" si="64"/>
        <v>0</v>
      </c>
    </row>
    <row r="924" spans="14:16" x14ac:dyDescent="0.25">
      <c r="N924" s="25"/>
      <c r="O924" t="str">
        <f t="shared" si="63"/>
        <v>R 0-3</v>
      </c>
      <c r="P924">
        <f t="shared" si="64"/>
        <v>0</v>
      </c>
    </row>
    <row r="925" spans="14:16" x14ac:dyDescent="0.25">
      <c r="N925" s="25"/>
      <c r="O925" t="str">
        <f t="shared" si="63"/>
        <v>R 0-3</v>
      </c>
      <c r="P925">
        <f t="shared" si="64"/>
        <v>0</v>
      </c>
    </row>
    <row r="926" spans="14:16" x14ac:dyDescent="0.25">
      <c r="N926" s="25"/>
      <c r="O926" t="str">
        <f t="shared" si="63"/>
        <v>R 0-3</v>
      </c>
      <c r="P926">
        <f t="shared" si="64"/>
        <v>0</v>
      </c>
    </row>
    <row r="927" spans="14:16" x14ac:dyDescent="0.25">
      <c r="N927" s="25"/>
      <c r="O927" t="str">
        <f t="shared" si="63"/>
        <v>R 0-3</v>
      </c>
      <c r="P927">
        <f t="shared" si="64"/>
        <v>0</v>
      </c>
    </row>
    <row r="928" spans="14:16" x14ac:dyDescent="0.25">
      <c r="N928" s="25"/>
      <c r="O928" t="str">
        <f t="shared" si="63"/>
        <v>R 0-3</v>
      </c>
      <c r="P928">
        <f t="shared" si="64"/>
        <v>0</v>
      </c>
    </row>
    <row r="929" spans="14:16" x14ac:dyDescent="0.25">
      <c r="N929" s="25"/>
      <c r="O929" t="str">
        <f t="shared" si="63"/>
        <v>R 0-3</v>
      </c>
      <c r="P929">
        <f t="shared" si="64"/>
        <v>0</v>
      </c>
    </row>
    <row r="930" spans="14:16" x14ac:dyDescent="0.25">
      <c r="N930" s="25"/>
      <c r="O930" t="str">
        <f t="shared" si="63"/>
        <v>R 0-3</v>
      </c>
      <c r="P930">
        <f t="shared" si="64"/>
        <v>0</v>
      </c>
    </row>
    <row r="931" spans="14:16" x14ac:dyDescent="0.25">
      <c r="N931" s="25"/>
      <c r="O931" t="str">
        <f t="shared" si="63"/>
        <v>R 0-3</v>
      </c>
      <c r="P931">
        <f t="shared" si="64"/>
        <v>0</v>
      </c>
    </row>
    <row r="932" spans="14:16" x14ac:dyDescent="0.25">
      <c r="N932" s="25"/>
      <c r="O932" t="str">
        <f t="shared" si="63"/>
        <v>R 0-3</v>
      </c>
      <c r="P932">
        <f t="shared" si="64"/>
        <v>0</v>
      </c>
    </row>
    <row r="933" spans="14:16" x14ac:dyDescent="0.25">
      <c r="N933" s="25"/>
      <c r="O933" t="str">
        <f t="shared" si="63"/>
        <v>R 0-3</v>
      </c>
      <c r="P933">
        <f t="shared" si="64"/>
        <v>0</v>
      </c>
    </row>
    <row r="934" spans="14:16" x14ac:dyDescent="0.25">
      <c r="N934" s="25"/>
      <c r="O934" t="str">
        <f t="shared" ref="O934:O997" si="65">VLOOKUP(N934,$R$2:$T$15,3,TRUE)</f>
        <v>R 0-3</v>
      </c>
      <c r="P934">
        <f t="shared" si="64"/>
        <v>0</v>
      </c>
    </row>
    <row r="935" spans="14:16" x14ac:dyDescent="0.25">
      <c r="N935" s="25"/>
      <c r="O935" t="str">
        <f t="shared" si="65"/>
        <v>R 0-3</v>
      </c>
      <c r="P935">
        <f t="shared" si="64"/>
        <v>0</v>
      </c>
    </row>
    <row r="936" spans="14:16" x14ac:dyDescent="0.25">
      <c r="N936" s="25"/>
      <c r="O936" t="str">
        <f t="shared" si="65"/>
        <v>R 0-3</v>
      </c>
      <c r="P936">
        <f t="shared" si="64"/>
        <v>0</v>
      </c>
    </row>
    <row r="937" spans="14:16" x14ac:dyDescent="0.25">
      <c r="N937" s="25"/>
      <c r="O937" t="str">
        <f t="shared" si="65"/>
        <v>R 0-3</v>
      </c>
      <c r="P937">
        <f t="shared" si="64"/>
        <v>0</v>
      </c>
    </row>
    <row r="938" spans="14:16" x14ac:dyDescent="0.25">
      <c r="N938" s="25"/>
      <c r="O938" t="str">
        <f t="shared" si="65"/>
        <v>R 0-3</v>
      </c>
      <c r="P938">
        <f t="shared" si="64"/>
        <v>0</v>
      </c>
    </row>
    <row r="939" spans="14:16" x14ac:dyDescent="0.25">
      <c r="N939" s="25"/>
      <c r="O939" t="str">
        <f t="shared" si="65"/>
        <v>R 0-3</v>
      </c>
      <c r="P939">
        <f t="shared" si="64"/>
        <v>0</v>
      </c>
    </row>
    <row r="940" spans="14:16" x14ac:dyDescent="0.25">
      <c r="N940" s="25"/>
      <c r="O940" t="str">
        <f t="shared" si="65"/>
        <v>R 0-3</v>
      </c>
      <c r="P940">
        <f t="shared" si="64"/>
        <v>0</v>
      </c>
    </row>
    <row r="941" spans="14:16" x14ac:dyDescent="0.25">
      <c r="N941" s="25"/>
      <c r="O941" t="str">
        <f t="shared" si="65"/>
        <v>R 0-3</v>
      </c>
      <c r="P941">
        <f t="shared" si="64"/>
        <v>0</v>
      </c>
    </row>
    <row r="942" spans="14:16" x14ac:dyDescent="0.25">
      <c r="N942" s="25"/>
      <c r="O942" t="str">
        <f t="shared" si="65"/>
        <v>R 0-3</v>
      </c>
      <c r="P942">
        <f t="shared" si="64"/>
        <v>0</v>
      </c>
    </row>
    <row r="943" spans="14:16" x14ac:dyDescent="0.25">
      <c r="N943" s="25"/>
      <c r="O943" t="str">
        <f t="shared" si="65"/>
        <v>R 0-3</v>
      </c>
      <c r="P943">
        <f t="shared" si="64"/>
        <v>0</v>
      </c>
    </row>
    <row r="944" spans="14:16" x14ac:dyDescent="0.25">
      <c r="N944" s="25"/>
      <c r="O944" t="str">
        <f t="shared" si="65"/>
        <v>R 0-3</v>
      </c>
      <c r="P944">
        <f t="shared" si="64"/>
        <v>0</v>
      </c>
    </row>
    <row r="945" spans="14:16" x14ac:dyDescent="0.25">
      <c r="N945" s="25"/>
      <c r="O945" t="str">
        <f t="shared" si="65"/>
        <v>R 0-3</v>
      </c>
      <c r="P945">
        <f t="shared" si="64"/>
        <v>0</v>
      </c>
    </row>
    <row r="946" spans="14:16" x14ac:dyDescent="0.25">
      <c r="N946" s="25"/>
      <c r="O946" t="str">
        <f t="shared" si="65"/>
        <v>R 0-3</v>
      </c>
      <c r="P946">
        <f t="shared" si="64"/>
        <v>0</v>
      </c>
    </row>
    <row r="947" spans="14:16" x14ac:dyDescent="0.25">
      <c r="N947" s="25"/>
      <c r="O947" t="str">
        <f t="shared" si="65"/>
        <v>R 0-3</v>
      </c>
      <c r="P947">
        <f t="shared" si="64"/>
        <v>0</v>
      </c>
    </row>
    <row r="948" spans="14:16" x14ac:dyDescent="0.25">
      <c r="N948" s="25"/>
      <c r="O948" t="str">
        <f t="shared" si="65"/>
        <v>R 0-3</v>
      </c>
      <c r="P948">
        <f t="shared" si="64"/>
        <v>0</v>
      </c>
    </row>
    <row r="949" spans="14:16" x14ac:dyDescent="0.25">
      <c r="N949" s="25"/>
      <c r="O949" t="str">
        <f t="shared" si="65"/>
        <v>R 0-3</v>
      </c>
      <c r="P949">
        <f t="shared" si="64"/>
        <v>0</v>
      </c>
    </row>
    <row r="950" spans="14:16" x14ac:dyDescent="0.25">
      <c r="N950" s="25"/>
      <c r="O950" t="str">
        <f t="shared" si="65"/>
        <v>R 0-3</v>
      </c>
      <c r="P950">
        <f t="shared" si="64"/>
        <v>0</v>
      </c>
    </row>
    <row r="951" spans="14:16" x14ac:dyDescent="0.25">
      <c r="N951" s="25"/>
      <c r="O951" t="str">
        <f t="shared" si="65"/>
        <v>R 0-3</v>
      </c>
      <c r="P951">
        <f t="shared" si="64"/>
        <v>0</v>
      </c>
    </row>
    <row r="952" spans="14:16" x14ac:dyDescent="0.25">
      <c r="N952" s="25"/>
      <c r="O952" t="str">
        <f t="shared" si="65"/>
        <v>R 0-3</v>
      </c>
      <c r="P952">
        <f t="shared" si="64"/>
        <v>0</v>
      </c>
    </row>
    <row r="953" spans="14:16" x14ac:dyDescent="0.25">
      <c r="N953" s="25"/>
      <c r="O953" t="str">
        <f t="shared" si="65"/>
        <v>R 0-3</v>
      </c>
      <c r="P953">
        <f t="shared" si="64"/>
        <v>0</v>
      </c>
    </row>
    <row r="954" spans="14:16" x14ac:dyDescent="0.25">
      <c r="N954" s="25"/>
      <c r="O954" t="str">
        <f t="shared" si="65"/>
        <v>R 0-3</v>
      </c>
      <c r="P954">
        <f t="shared" si="64"/>
        <v>0</v>
      </c>
    </row>
    <row r="955" spans="14:16" x14ac:dyDescent="0.25">
      <c r="N955" s="25"/>
      <c r="O955" t="str">
        <f t="shared" si="65"/>
        <v>R 0-3</v>
      </c>
      <c r="P955">
        <f t="shared" si="64"/>
        <v>0</v>
      </c>
    </row>
    <row r="956" spans="14:16" x14ac:dyDescent="0.25">
      <c r="N956" s="25"/>
      <c r="O956" t="str">
        <f t="shared" si="65"/>
        <v>R 0-3</v>
      </c>
      <c r="P956">
        <f t="shared" si="64"/>
        <v>0</v>
      </c>
    </row>
    <row r="957" spans="14:16" x14ac:dyDescent="0.25">
      <c r="N957" s="25"/>
      <c r="O957" t="str">
        <f t="shared" si="65"/>
        <v>R 0-3</v>
      </c>
      <c r="P957">
        <f t="shared" si="64"/>
        <v>0</v>
      </c>
    </row>
    <row r="958" spans="14:16" x14ac:dyDescent="0.25">
      <c r="N958" s="25"/>
      <c r="O958" t="str">
        <f t="shared" si="65"/>
        <v>R 0-3</v>
      </c>
      <c r="P958">
        <f t="shared" si="64"/>
        <v>0</v>
      </c>
    </row>
    <row r="959" spans="14:16" x14ac:dyDescent="0.25">
      <c r="N959" s="25"/>
      <c r="O959" t="str">
        <f t="shared" si="65"/>
        <v>R 0-3</v>
      </c>
      <c r="P959">
        <f t="shared" si="64"/>
        <v>0</v>
      </c>
    </row>
    <row r="960" spans="14:16" x14ac:dyDescent="0.25">
      <c r="N960" s="25"/>
      <c r="O960" t="str">
        <f t="shared" si="65"/>
        <v>R 0-3</v>
      </c>
      <c r="P960">
        <f t="shared" si="64"/>
        <v>0</v>
      </c>
    </row>
    <row r="961" spans="14:16" x14ac:dyDescent="0.25">
      <c r="N961" s="25"/>
      <c r="O961" t="str">
        <f t="shared" si="65"/>
        <v>R 0-3</v>
      </c>
      <c r="P961">
        <f t="shared" si="64"/>
        <v>0</v>
      </c>
    </row>
    <row r="962" spans="14:16" x14ac:dyDescent="0.25">
      <c r="N962" s="25"/>
      <c r="O962" t="str">
        <f t="shared" si="65"/>
        <v>R 0-3</v>
      </c>
      <c r="P962">
        <f t="shared" si="64"/>
        <v>0</v>
      </c>
    </row>
    <row r="963" spans="14:16" x14ac:dyDescent="0.25">
      <c r="N963" s="25"/>
      <c r="O963" t="str">
        <f t="shared" si="65"/>
        <v>R 0-3</v>
      </c>
      <c r="P963">
        <f t="shared" ref="P963:P1001" si="66">1*(N963&lt;&gt;0)</f>
        <v>0</v>
      </c>
    </row>
    <row r="964" spans="14:16" x14ac:dyDescent="0.25">
      <c r="N964" s="25"/>
      <c r="O964" t="str">
        <f t="shared" si="65"/>
        <v>R 0-3</v>
      </c>
      <c r="P964">
        <f t="shared" si="66"/>
        <v>0</v>
      </c>
    </row>
    <row r="965" spans="14:16" x14ac:dyDescent="0.25">
      <c r="N965" s="25"/>
      <c r="O965" t="str">
        <f t="shared" si="65"/>
        <v>R 0-3</v>
      </c>
      <c r="P965">
        <f t="shared" si="66"/>
        <v>0</v>
      </c>
    </row>
    <row r="966" spans="14:16" x14ac:dyDescent="0.25">
      <c r="N966" s="25"/>
      <c r="O966" t="str">
        <f t="shared" si="65"/>
        <v>R 0-3</v>
      </c>
      <c r="P966">
        <f t="shared" si="66"/>
        <v>0</v>
      </c>
    </row>
    <row r="967" spans="14:16" x14ac:dyDescent="0.25">
      <c r="N967" s="25"/>
      <c r="O967" t="str">
        <f t="shared" si="65"/>
        <v>R 0-3</v>
      </c>
      <c r="P967">
        <f t="shared" si="66"/>
        <v>0</v>
      </c>
    </row>
    <row r="968" spans="14:16" x14ac:dyDescent="0.25">
      <c r="N968" s="25"/>
      <c r="O968" t="str">
        <f t="shared" si="65"/>
        <v>R 0-3</v>
      </c>
      <c r="P968">
        <f t="shared" si="66"/>
        <v>0</v>
      </c>
    </row>
    <row r="969" spans="14:16" x14ac:dyDescent="0.25">
      <c r="N969" s="25"/>
      <c r="O969" t="str">
        <f t="shared" si="65"/>
        <v>R 0-3</v>
      </c>
      <c r="P969">
        <f t="shared" si="66"/>
        <v>0</v>
      </c>
    </row>
    <row r="970" spans="14:16" x14ac:dyDescent="0.25">
      <c r="N970" s="25"/>
      <c r="O970" t="str">
        <f t="shared" si="65"/>
        <v>R 0-3</v>
      </c>
      <c r="P970">
        <f t="shared" si="66"/>
        <v>0</v>
      </c>
    </row>
    <row r="971" spans="14:16" x14ac:dyDescent="0.25">
      <c r="N971" s="25"/>
      <c r="O971" t="str">
        <f t="shared" si="65"/>
        <v>R 0-3</v>
      </c>
      <c r="P971">
        <f t="shared" si="66"/>
        <v>0</v>
      </c>
    </row>
    <row r="972" spans="14:16" x14ac:dyDescent="0.25">
      <c r="N972" s="25"/>
      <c r="O972" t="str">
        <f t="shared" si="65"/>
        <v>R 0-3</v>
      </c>
      <c r="P972">
        <f t="shared" si="66"/>
        <v>0</v>
      </c>
    </row>
    <row r="973" spans="14:16" x14ac:dyDescent="0.25">
      <c r="N973" s="25"/>
      <c r="O973" t="str">
        <f t="shared" si="65"/>
        <v>R 0-3</v>
      </c>
      <c r="P973">
        <f t="shared" si="66"/>
        <v>0</v>
      </c>
    </row>
    <row r="974" spans="14:16" x14ac:dyDescent="0.25">
      <c r="N974" s="25"/>
      <c r="O974" t="str">
        <f t="shared" si="65"/>
        <v>R 0-3</v>
      </c>
      <c r="P974">
        <f t="shared" si="66"/>
        <v>0</v>
      </c>
    </row>
    <row r="975" spans="14:16" x14ac:dyDescent="0.25">
      <c r="N975" s="25"/>
      <c r="O975" t="str">
        <f t="shared" si="65"/>
        <v>R 0-3</v>
      </c>
      <c r="P975">
        <f t="shared" si="66"/>
        <v>0</v>
      </c>
    </row>
    <row r="976" spans="14:16" x14ac:dyDescent="0.25">
      <c r="N976" s="25"/>
      <c r="O976" t="str">
        <f t="shared" si="65"/>
        <v>R 0-3</v>
      </c>
      <c r="P976">
        <f t="shared" si="66"/>
        <v>0</v>
      </c>
    </row>
    <row r="977" spans="14:16" x14ac:dyDescent="0.25">
      <c r="N977" s="25"/>
      <c r="O977" t="str">
        <f t="shared" si="65"/>
        <v>R 0-3</v>
      </c>
      <c r="P977">
        <f t="shared" si="66"/>
        <v>0</v>
      </c>
    </row>
    <row r="978" spans="14:16" x14ac:dyDescent="0.25">
      <c r="N978" s="25"/>
      <c r="O978" t="str">
        <f t="shared" si="65"/>
        <v>R 0-3</v>
      </c>
      <c r="P978">
        <f t="shared" si="66"/>
        <v>0</v>
      </c>
    </row>
    <row r="979" spans="14:16" x14ac:dyDescent="0.25">
      <c r="N979" s="25"/>
      <c r="O979" t="str">
        <f t="shared" si="65"/>
        <v>R 0-3</v>
      </c>
      <c r="P979">
        <f t="shared" si="66"/>
        <v>0</v>
      </c>
    </row>
    <row r="980" spans="14:16" x14ac:dyDescent="0.25">
      <c r="N980" s="25"/>
      <c r="O980" t="str">
        <f t="shared" si="65"/>
        <v>R 0-3</v>
      </c>
      <c r="P980">
        <f t="shared" si="66"/>
        <v>0</v>
      </c>
    </row>
    <row r="981" spans="14:16" x14ac:dyDescent="0.25">
      <c r="N981" s="25"/>
      <c r="O981" t="str">
        <f t="shared" si="65"/>
        <v>R 0-3</v>
      </c>
      <c r="P981">
        <f t="shared" si="66"/>
        <v>0</v>
      </c>
    </row>
    <row r="982" spans="14:16" x14ac:dyDescent="0.25">
      <c r="N982" s="25"/>
      <c r="O982" t="str">
        <f t="shared" si="65"/>
        <v>R 0-3</v>
      </c>
      <c r="P982">
        <f t="shared" si="66"/>
        <v>0</v>
      </c>
    </row>
    <row r="983" spans="14:16" x14ac:dyDescent="0.25">
      <c r="N983" s="25"/>
      <c r="O983" t="str">
        <f t="shared" si="65"/>
        <v>R 0-3</v>
      </c>
      <c r="P983">
        <f t="shared" si="66"/>
        <v>0</v>
      </c>
    </row>
    <row r="984" spans="14:16" x14ac:dyDescent="0.25">
      <c r="N984" s="25"/>
      <c r="O984" t="str">
        <f t="shared" si="65"/>
        <v>R 0-3</v>
      </c>
      <c r="P984">
        <f t="shared" si="66"/>
        <v>0</v>
      </c>
    </row>
    <row r="985" spans="14:16" x14ac:dyDescent="0.25">
      <c r="N985" s="25"/>
      <c r="O985" t="str">
        <f t="shared" si="65"/>
        <v>R 0-3</v>
      </c>
      <c r="P985">
        <f t="shared" si="66"/>
        <v>0</v>
      </c>
    </row>
    <row r="986" spans="14:16" x14ac:dyDescent="0.25">
      <c r="N986" s="25"/>
      <c r="O986" t="str">
        <f t="shared" si="65"/>
        <v>R 0-3</v>
      </c>
      <c r="P986">
        <f t="shared" si="66"/>
        <v>0</v>
      </c>
    </row>
    <row r="987" spans="14:16" x14ac:dyDescent="0.25">
      <c r="N987" s="25"/>
      <c r="O987" t="str">
        <f t="shared" si="65"/>
        <v>R 0-3</v>
      </c>
      <c r="P987">
        <f t="shared" si="66"/>
        <v>0</v>
      </c>
    </row>
    <row r="988" spans="14:16" x14ac:dyDescent="0.25">
      <c r="N988" s="25"/>
      <c r="O988" t="str">
        <f t="shared" si="65"/>
        <v>R 0-3</v>
      </c>
      <c r="P988">
        <f t="shared" si="66"/>
        <v>0</v>
      </c>
    </row>
    <row r="989" spans="14:16" x14ac:dyDescent="0.25">
      <c r="N989" s="25"/>
      <c r="O989" t="str">
        <f t="shared" si="65"/>
        <v>R 0-3</v>
      </c>
      <c r="P989">
        <f t="shared" si="66"/>
        <v>0</v>
      </c>
    </row>
    <row r="990" spans="14:16" x14ac:dyDescent="0.25">
      <c r="N990" s="25"/>
      <c r="O990" t="str">
        <f t="shared" si="65"/>
        <v>R 0-3</v>
      </c>
      <c r="P990">
        <f t="shared" si="66"/>
        <v>0</v>
      </c>
    </row>
    <row r="991" spans="14:16" x14ac:dyDescent="0.25">
      <c r="N991" s="25"/>
      <c r="O991" t="str">
        <f t="shared" si="65"/>
        <v>R 0-3</v>
      </c>
      <c r="P991">
        <f t="shared" si="66"/>
        <v>0</v>
      </c>
    </row>
    <row r="992" spans="14:16" x14ac:dyDescent="0.25">
      <c r="N992" s="25"/>
      <c r="O992" t="str">
        <f t="shared" si="65"/>
        <v>R 0-3</v>
      </c>
      <c r="P992">
        <f t="shared" si="66"/>
        <v>0</v>
      </c>
    </row>
    <row r="993" spans="14:16" x14ac:dyDescent="0.25">
      <c r="N993" s="25"/>
      <c r="O993" t="str">
        <f t="shared" si="65"/>
        <v>R 0-3</v>
      </c>
      <c r="P993">
        <f t="shared" si="66"/>
        <v>0</v>
      </c>
    </row>
    <row r="994" spans="14:16" x14ac:dyDescent="0.25">
      <c r="N994" s="25"/>
      <c r="O994" t="str">
        <f t="shared" si="65"/>
        <v>R 0-3</v>
      </c>
      <c r="P994">
        <f t="shared" si="66"/>
        <v>0</v>
      </c>
    </row>
    <row r="995" spans="14:16" x14ac:dyDescent="0.25">
      <c r="N995" s="25"/>
      <c r="O995" t="str">
        <f t="shared" si="65"/>
        <v>R 0-3</v>
      </c>
      <c r="P995">
        <f t="shared" si="66"/>
        <v>0</v>
      </c>
    </row>
    <row r="996" spans="14:16" x14ac:dyDescent="0.25">
      <c r="N996" s="25"/>
      <c r="O996" t="str">
        <f t="shared" si="65"/>
        <v>R 0-3</v>
      </c>
      <c r="P996">
        <f t="shared" si="66"/>
        <v>0</v>
      </c>
    </row>
    <row r="997" spans="14:16" x14ac:dyDescent="0.25">
      <c r="N997" s="25"/>
      <c r="O997" t="str">
        <f t="shared" si="65"/>
        <v>R 0-3</v>
      </c>
      <c r="P997">
        <f t="shared" si="66"/>
        <v>0</v>
      </c>
    </row>
    <row r="998" spans="14:16" x14ac:dyDescent="0.25">
      <c r="N998" s="25"/>
      <c r="O998" t="str">
        <f t="shared" ref="O998:O1001" si="67">VLOOKUP(N998,$R$2:$T$15,3,TRUE)</f>
        <v>R 0-3</v>
      </c>
      <c r="P998">
        <f t="shared" si="66"/>
        <v>0</v>
      </c>
    </row>
    <row r="999" spans="14:16" x14ac:dyDescent="0.25">
      <c r="N999" s="25"/>
      <c r="O999" t="str">
        <f t="shared" si="67"/>
        <v>R 0-3</v>
      </c>
      <c r="P999">
        <f t="shared" si="66"/>
        <v>0</v>
      </c>
    </row>
    <row r="1000" spans="14:16" x14ac:dyDescent="0.25">
      <c r="N1000" s="25"/>
      <c r="O1000" t="str">
        <f t="shared" si="67"/>
        <v>R 0-3</v>
      </c>
      <c r="P1000">
        <f t="shared" si="66"/>
        <v>0</v>
      </c>
    </row>
    <row r="1001" spans="14:16" x14ac:dyDescent="0.25">
      <c r="N1001" s="25"/>
      <c r="O1001" t="str">
        <f t="shared" si="67"/>
        <v>R 0-3</v>
      </c>
      <c r="P1001">
        <f t="shared" si="66"/>
        <v>0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9</xdr:col>
                <xdr:colOff>533400</xdr:colOff>
                <xdr:row>0</xdr:row>
                <xdr:rowOff>0</xdr:rowOff>
              </from>
              <to>
                <xdr:col>11</xdr:col>
                <xdr:colOff>228600</xdr:colOff>
                <xdr:row>1</xdr:row>
                <xdr:rowOff>114300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D2:I19"/>
  <sheetViews>
    <sheetView workbookViewId="0">
      <selection activeCell="E9" sqref="E9"/>
    </sheetView>
  </sheetViews>
  <sheetFormatPr defaultRowHeight="15" x14ac:dyDescent="0.25"/>
  <sheetData>
    <row r="2" spans="4:9" x14ac:dyDescent="0.25">
      <c r="D2">
        <v>1</v>
      </c>
      <c r="E2" s="3">
        <v>1.7</v>
      </c>
      <c r="F2" s="1">
        <f>+E2*1000/220</f>
        <v>7.7272727272727275</v>
      </c>
      <c r="H2" t="s">
        <v>3</v>
      </c>
      <c r="I2" s="4">
        <v>1000</v>
      </c>
    </row>
    <row r="3" spans="4:9" x14ac:dyDescent="0.25">
      <c r="D3">
        <f>+D2+1</f>
        <v>2</v>
      </c>
      <c r="E3" s="1">
        <f t="shared" ref="E3:E13" si="0">+E2*$E$2</f>
        <v>2.8899999999999997</v>
      </c>
      <c r="F3" s="1">
        <f t="shared" ref="F3:F19" si="1">+E3*1000/220</f>
        <v>13.136363636363635</v>
      </c>
      <c r="I3" s="2"/>
    </row>
    <row r="4" spans="4:9" x14ac:dyDescent="0.25">
      <c r="D4">
        <f t="shared" ref="D4:D9" si="2">+D3+1</f>
        <v>3</v>
      </c>
      <c r="E4" s="1">
        <f t="shared" si="0"/>
        <v>4.9129999999999994</v>
      </c>
      <c r="F4" s="1">
        <f t="shared" si="1"/>
        <v>22.331818181818178</v>
      </c>
      <c r="H4" t="s">
        <v>0</v>
      </c>
      <c r="I4" s="2"/>
    </row>
    <row r="5" spans="4:9" x14ac:dyDescent="0.25">
      <c r="D5">
        <f t="shared" si="2"/>
        <v>4</v>
      </c>
      <c r="E5" s="1">
        <f t="shared" si="0"/>
        <v>8.3520999999999983</v>
      </c>
      <c r="F5" s="1">
        <f t="shared" si="1"/>
        <v>37.964090909090899</v>
      </c>
      <c r="H5" t="s">
        <v>1</v>
      </c>
      <c r="I5" s="4">
        <v>500</v>
      </c>
    </row>
    <row r="6" spans="4:9" x14ac:dyDescent="0.25">
      <c r="D6">
        <f t="shared" si="2"/>
        <v>5</v>
      </c>
      <c r="E6" s="1">
        <f t="shared" si="0"/>
        <v>14.198569999999997</v>
      </c>
      <c r="F6" s="1">
        <f t="shared" si="1"/>
        <v>64.53895454545453</v>
      </c>
      <c r="H6" t="s">
        <v>2</v>
      </c>
      <c r="I6" s="4">
        <v>130</v>
      </c>
    </row>
    <row r="7" spans="4:9" x14ac:dyDescent="0.25">
      <c r="D7">
        <f t="shared" si="2"/>
        <v>6</v>
      </c>
      <c r="E7" s="1">
        <f t="shared" si="0"/>
        <v>24.137568999999992</v>
      </c>
      <c r="F7" s="1">
        <f t="shared" si="1"/>
        <v>109.71622272727269</v>
      </c>
      <c r="H7" t="s">
        <v>4</v>
      </c>
      <c r="I7" s="4">
        <v>100</v>
      </c>
    </row>
    <row r="8" spans="4:9" x14ac:dyDescent="0.25">
      <c r="D8">
        <f t="shared" si="2"/>
        <v>7</v>
      </c>
      <c r="E8" s="1">
        <f t="shared" si="0"/>
        <v>41.033867299999983</v>
      </c>
      <c r="F8" s="1">
        <f t="shared" si="1"/>
        <v>186.51757863636357</v>
      </c>
      <c r="I8" s="2">
        <f>SUM(I5:I7)</f>
        <v>730</v>
      </c>
    </row>
    <row r="9" spans="4:9" x14ac:dyDescent="0.25">
      <c r="D9">
        <f t="shared" si="2"/>
        <v>8</v>
      </c>
      <c r="E9" s="1">
        <f t="shared" si="0"/>
        <v>69.757574409999975</v>
      </c>
      <c r="F9" s="1">
        <f t="shared" si="1"/>
        <v>317.07988368181805</v>
      </c>
      <c r="I9" s="2"/>
    </row>
    <row r="10" spans="4:9" x14ac:dyDescent="0.25">
      <c r="D10">
        <f t="shared" ref="D10:D19" si="3">+D9+1</f>
        <v>9</v>
      </c>
      <c r="E10" s="1">
        <f t="shared" si="0"/>
        <v>118.58787649699995</v>
      </c>
      <c r="F10" s="1">
        <f t="shared" si="1"/>
        <v>539.0358022590907</v>
      </c>
      <c r="H10" t="s">
        <v>5</v>
      </c>
      <c r="I10" s="4">
        <v>3</v>
      </c>
    </row>
    <row r="11" spans="4:9" x14ac:dyDescent="0.25">
      <c r="D11">
        <f t="shared" si="3"/>
        <v>10</v>
      </c>
      <c r="E11" s="1">
        <f t="shared" si="0"/>
        <v>201.59939004489991</v>
      </c>
      <c r="F11" s="1">
        <f t="shared" si="1"/>
        <v>916.36086384045416</v>
      </c>
      <c r="I11" s="2">
        <f>(+I2+I8*12)*I10</f>
        <v>29280</v>
      </c>
    </row>
    <row r="12" spans="4:9" x14ac:dyDescent="0.25">
      <c r="D12">
        <f t="shared" si="3"/>
        <v>11</v>
      </c>
      <c r="E12" s="1">
        <f t="shared" si="0"/>
        <v>342.71896307632983</v>
      </c>
      <c r="F12" s="1">
        <f t="shared" si="1"/>
        <v>1557.8134685287721</v>
      </c>
      <c r="I12" s="2"/>
    </row>
    <row r="13" spans="4:9" x14ac:dyDescent="0.25">
      <c r="D13">
        <f t="shared" si="3"/>
        <v>12</v>
      </c>
      <c r="E13" s="1">
        <f t="shared" si="0"/>
        <v>582.62223722976069</v>
      </c>
      <c r="F13" s="1">
        <f t="shared" si="1"/>
        <v>2648.2828964989126</v>
      </c>
      <c r="I13" s="2">
        <f>+I11*2*1.2</f>
        <v>70272</v>
      </c>
    </row>
    <row r="14" spans="4:9" x14ac:dyDescent="0.25">
      <c r="D14">
        <f t="shared" si="3"/>
        <v>13</v>
      </c>
      <c r="E14" s="1">
        <f t="shared" ref="E14:E16" si="4">+E13*$E$2</f>
        <v>990.45780329059312</v>
      </c>
      <c r="F14" s="1">
        <f t="shared" si="1"/>
        <v>4502.0809240481503</v>
      </c>
      <c r="I14" s="5">
        <f>LOG(+I13/1000,E2)</f>
        <v>8.0138466392148171</v>
      </c>
    </row>
    <row r="15" spans="4:9" x14ac:dyDescent="0.25">
      <c r="D15">
        <f t="shared" si="3"/>
        <v>14</v>
      </c>
      <c r="E15" s="1">
        <f t="shared" si="4"/>
        <v>1683.7782655940082</v>
      </c>
      <c r="F15" s="1">
        <f t="shared" si="1"/>
        <v>7653.5375708818556</v>
      </c>
      <c r="I15" s="2"/>
    </row>
    <row r="16" spans="4:9" x14ac:dyDescent="0.25">
      <c r="D16">
        <f t="shared" si="3"/>
        <v>15</v>
      </c>
      <c r="E16" s="1">
        <f t="shared" si="4"/>
        <v>2862.4230515098138</v>
      </c>
      <c r="F16" s="1">
        <f t="shared" si="1"/>
        <v>13011.013870499153</v>
      </c>
      <c r="I16" s="2"/>
    </row>
    <row r="17" spans="4:9" x14ac:dyDescent="0.25">
      <c r="D17">
        <f t="shared" si="3"/>
        <v>16</v>
      </c>
      <c r="E17" s="1">
        <f t="shared" ref="E17:E19" si="5">+E16*$E$2</f>
        <v>4866.1191875666836</v>
      </c>
      <c r="F17" s="1">
        <f t="shared" si="1"/>
        <v>22118.723579848564</v>
      </c>
      <c r="I17" s="2"/>
    </row>
    <row r="18" spans="4:9" x14ac:dyDescent="0.25">
      <c r="D18">
        <f t="shared" si="3"/>
        <v>17</v>
      </c>
      <c r="E18" s="1">
        <f t="shared" si="5"/>
        <v>8272.4026188633616</v>
      </c>
      <c r="F18" s="1">
        <f t="shared" si="1"/>
        <v>37601.830085742557</v>
      </c>
    </row>
    <row r="19" spans="4:9" x14ac:dyDescent="0.25">
      <c r="D19">
        <f t="shared" si="3"/>
        <v>18</v>
      </c>
      <c r="E19" s="1">
        <f t="shared" si="5"/>
        <v>14063.084452067715</v>
      </c>
      <c r="F19" s="1">
        <f t="shared" si="1"/>
        <v>63923.111145762334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D8:D14"/>
  <sheetViews>
    <sheetView workbookViewId="0">
      <selection activeCell="D14" sqref="D14"/>
    </sheetView>
  </sheetViews>
  <sheetFormatPr defaultRowHeight="15" x14ac:dyDescent="0.25"/>
  <sheetData>
    <row r="8" spans="4:4" x14ac:dyDescent="0.3">
      <c r="D8">
        <v>6400</v>
      </c>
    </row>
    <row r="10" spans="4:4" x14ac:dyDescent="0.3">
      <c r="D10">
        <v>3500</v>
      </c>
    </row>
    <row r="11" spans="4:4" x14ac:dyDescent="0.3">
      <c r="D11">
        <f>D8/D10</f>
        <v>1.8285714285714285</v>
      </c>
    </row>
    <row r="12" spans="4:4" x14ac:dyDescent="0.3">
      <c r="D12">
        <v>0.4</v>
      </c>
    </row>
    <row r="13" spans="4:4" x14ac:dyDescent="0.3">
      <c r="D13">
        <v>0.86</v>
      </c>
    </row>
    <row r="14" spans="4:4" x14ac:dyDescent="0.3">
      <c r="D14">
        <f>D11*D12*D13</f>
        <v>0.62902857142857138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L1352"/>
  <sheetViews>
    <sheetView workbookViewId="0"/>
  </sheetViews>
  <sheetFormatPr defaultRowHeight="15" x14ac:dyDescent="0.25"/>
  <cols>
    <col min="11" max="11" width="10" style="2" bestFit="1" customWidth="1"/>
    <col min="12" max="12" width="12" style="2" customWidth="1"/>
  </cols>
  <sheetData>
    <row r="1" spans="1:12" x14ac:dyDescent="0.25">
      <c r="A1" t="s">
        <v>5</v>
      </c>
      <c r="B1" s="16">
        <v>1.8</v>
      </c>
      <c r="C1" s="16">
        <v>1.8</v>
      </c>
      <c r="D1" s="16">
        <v>1.8</v>
      </c>
      <c r="E1" s="16">
        <v>1.8</v>
      </c>
      <c r="F1" s="16">
        <v>1.8</v>
      </c>
      <c r="G1" s="16">
        <v>1.8</v>
      </c>
      <c r="H1" s="16">
        <v>1.8</v>
      </c>
      <c r="I1" s="16">
        <v>1.8</v>
      </c>
    </row>
    <row r="2" spans="1:12" ht="14.45" x14ac:dyDescent="0.3">
      <c r="A2" t="s">
        <v>17</v>
      </c>
      <c r="B2" s="16">
        <v>10</v>
      </c>
      <c r="C2" s="16">
        <v>10</v>
      </c>
      <c r="D2" s="16">
        <v>10</v>
      </c>
      <c r="E2" s="16">
        <v>10</v>
      </c>
      <c r="F2" s="16">
        <v>10</v>
      </c>
      <c r="G2" s="16">
        <v>10</v>
      </c>
      <c r="H2" s="16">
        <v>10</v>
      </c>
      <c r="I2" s="16">
        <v>10</v>
      </c>
    </row>
    <row r="4" spans="1:12" x14ac:dyDescent="0.25">
      <c r="A4" s="31" t="s">
        <v>13</v>
      </c>
      <c r="B4" s="32">
        <f>B1*52</f>
        <v>93.600000000000009</v>
      </c>
      <c r="C4" s="32">
        <f t="shared" ref="C4:I4" si="0">C1*52</f>
        <v>93.600000000000009</v>
      </c>
      <c r="D4" s="32">
        <f t="shared" si="0"/>
        <v>93.600000000000009</v>
      </c>
      <c r="E4" s="32">
        <f t="shared" si="0"/>
        <v>93.600000000000009</v>
      </c>
      <c r="F4" s="32">
        <f t="shared" ref="F4:H4" si="1">F1*52</f>
        <v>93.600000000000009</v>
      </c>
      <c r="G4" s="32">
        <f t="shared" si="1"/>
        <v>93.600000000000009</v>
      </c>
      <c r="H4" s="32">
        <f t="shared" si="1"/>
        <v>93.600000000000009</v>
      </c>
      <c r="I4" s="32">
        <f t="shared" si="0"/>
        <v>93.600000000000009</v>
      </c>
    </row>
    <row r="5" spans="1:12" ht="14.45" x14ac:dyDescent="0.3">
      <c r="A5" t="s">
        <v>14</v>
      </c>
      <c r="B5" s="8">
        <f>B2^(1/B4)-1</f>
        <v>2.4905351254813857E-2</v>
      </c>
      <c r="C5" s="8">
        <f t="shared" ref="C5:I5" si="2">C2^(1/C4)-1</f>
        <v>2.4905351254813857E-2</v>
      </c>
      <c r="D5" s="8">
        <f t="shared" si="2"/>
        <v>2.4905351254813857E-2</v>
      </c>
      <c r="E5" s="8">
        <f t="shared" si="2"/>
        <v>2.4905351254813857E-2</v>
      </c>
      <c r="F5" s="8">
        <f t="shared" ref="F5" si="3">F2^(1/F4)-1</f>
        <v>2.4905351254813857E-2</v>
      </c>
      <c r="G5" s="8">
        <f t="shared" ref="G5" si="4">G2^(1/G4)-1</f>
        <v>2.4905351254813857E-2</v>
      </c>
      <c r="H5" s="8">
        <f t="shared" ref="H5" si="5">H2^(1/H4)-1</f>
        <v>2.4905351254813857E-2</v>
      </c>
      <c r="I5" s="8">
        <f t="shared" si="2"/>
        <v>2.4905351254813857E-2</v>
      </c>
    </row>
    <row r="7" spans="1:12" x14ac:dyDescent="0.25">
      <c r="A7" t="s">
        <v>15</v>
      </c>
      <c r="B7" s="16">
        <v>0.4</v>
      </c>
      <c r="C7" s="16">
        <f>B7</f>
        <v>0.4</v>
      </c>
      <c r="D7" s="16">
        <f t="shared" ref="D7:E7" si="6">C7</f>
        <v>0.4</v>
      </c>
      <c r="E7" s="16">
        <f t="shared" si="6"/>
        <v>0.4</v>
      </c>
      <c r="F7" s="16">
        <v>0.4</v>
      </c>
      <c r="G7" s="16">
        <v>0.4</v>
      </c>
      <c r="H7" s="16">
        <v>0</v>
      </c>
      <c r="I7" s="16">
        <v>0</v>
      </c>
    </row>
    <row r="8" spans="1:12" x14ac:dyDescent="0.25">
      <c r="A8" t="s">
        <v>16</v>
      </c>
      <c r="B8" s="29">
        <v>6</v>
      </c>
      <c r="C8" s="29">
        <f>B8</f>
        <v>6</v>
      </c>
      <c r="D8" s="29">
        <f t="shared" ref="D8:I8" si="7">C8</f>
        <v>6</v>
      </c>
      <c r="E8" s="29">
        <f t="shared" si="7"/>
        <v>6</v>
      </c>
      <c r="F8" s="29">
        <f t="shared" si="7"/>
        <v>6</v>
      </c>
      <c r="G8" s="29">
        <f t="shared" si="7"/>
        <v>6</v>
      </c>
      <c r="H8" s="29">
        <f t="shared" si="7"/>
        <v>6</v>
      </c>
      <c r="I8" s="29">
        <f t="shared" si="7"/>
        <v>6</v>
      </c>
      <c r="K8" s="2">
        <f ca="1">K62</f>
        <v>304756.68994205107</v>
      </c>
      <c r="L8" s="2">
        <f ca="1">L62</f>
        <v>67046471.787251234</v>
      </c>
    </row>
    <row r="10" spans="1:12" ht="14.45" x14ac:dyDescent="0.3">
      <c r="A10" s="30">
        <v>0</v>
      </c>
      <c r="B10" s="30">
        <v>1</v>
      </c>
      <c r="C10" s="30">
        <v>1</v>
      </c>
      <c r="D10" s="30">
        <v>1</v>
      </c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4">
        <v>6600</v>
      </c>
      <c r="L10" s="2">
        <f>K10*220</f>
        <v>1452000</v>
      </c>
    </row>
    <row r="11" spans="1:12" ht="14.45" x14ac:dyDescent="0.3">
      <c r="A11">
        <v>1</v>
      </c>
      <c r="B11" s="23">
        <f ca="1">((RAND()*2-1)*B$8*B$5+B$5)*B$7+1</f>
        <v>1.0051975955428991</v>
      </c>
      <c r="C11" s="23">
        <f t="shared" ref="C11:I26" ca="1" si="8">((RAND()*2-1)*C$8*C$5+C$5)*C$7+1</f>
        <v>1.0160903844080247</v>
      </c>
      <c r="D11" s="23">
        <f t="shared" ca="1" si="8"/>
        <v>1.0546723902765278</v>
      </c>
      <c r="E11" s="23">
        <f t="shared" ca="1" si="8"/>
        <v>0.97144298906898463</v>
      </c>
      <c r="F11" s="23">
        <f t="shared" ca="1" si="8"/>
        <v>1.0384822673934919</v>
      </c>
      <c r="G11" s="23">
        <f t="shared" ca="1" si="8"/>
        <v>1.030087316615548</v>
      </c>
      <c r="H11" s="23">
        <f t="shared" ca="1" si="8"/>
        <v>1</v>
      </c>
      <c r="I11" s="23">
        <f t="shared" ca="1" si="8"/>
        <v>1</v>
      </c>
      <c r="J11" s="23">
        <f ca="1">PRODUCT(B11:I11)</f>
        <v>1.1194167545499432</v>
      </c>
      <c r="K11" s="4">
        <f ca="1">+K10*J11</f>
        <v>7388.1505800296245</v>
      </c>
      <c r="L11" s="2">
        <f t="shared" ref="L11:L62" ca="1" si="9">K11*220</f>
        <v>1625393.1276065174</v>
      </c>
    </row>
    <row r="12" spans="1:12" ht="14.45" x14ac:dyDescent="0.3">
      <c r="A12">
        <f>A11+1</f>
        <v>2</v>
      </c>
      <c r="B12" s="23">
        <f t="shared" ref="B12:I27" ca="1" si="10">((RAND()*2-1)*B$8*B$5+B$5)*B$7+1</f>
        <v>1.0183986942076044</v>
      </c>
      <c r="C12" s="23">
        <f t="shared" ca="1" si="8"/>
        <v>1.0104892293122669</v>
      </c>
      <c r="D12" s="23">
        <f t="shared" ca="1" si="8"/>
        <v>0.99443409565069851</v>
      </c>
      <c r="E12" s="23">
        <f t="shared" ca="1" si="8"/>
        <v>1.0238682875380913</v>
      </c>
      <c r="F12" s="23">
        <f t="shared" ca="1" si="8"/>
        <v>1.0249997223540264</v>
      </c>
      <c r="G12" s="23">
        <f t="shared" ca="1" si="8"/>
        <v>0.9764931328702231</v>
      </c>
      <c r="H12" s="23">
        <f t="shared" ca="1" si="8"/>
        <v>1</v>
      </c>
      <c r="I12" s="23">
        <f t="shared" ca="1" si="8"/>
        <v>1</v>
      </c>
      <c r="J12" s="23">
        <f t="shared" ref="J12:J62" ca="1" si="11">PRODUCT(B12:I12)</f>
        <v>1.0487272718534091</v>
      </c>
      <c r="K12" s="4">
        <f t="shared" ref="K12:K62" ca="1" si="12">+K11*J12</f>
        <v>7748.1550018366497</v>
      </c>
      <c r="L12" s="2">
        <f t="shared" ca="1" si="9"/>
        <v>1704594.100404063</v>
      </c>
    </row>
    <row r="13" spans="1:12" ht="14.45" x14ac:dyDescent="0.3">
      <c r="A13">
        <f t="shared" ref="A13:A62" si="13">A12+1</f>
        <v>3</v>
      </c>
      <c r="B13" s="23">
        <f t="shared" ca="1" si="10"/>
        <v>1.0597390015383434</v>
      </c>
      <c r="C13" s="23">
        <f t="shared" ca="1" si="8"/>
        <v>0.98103486106209004</v>
      </c>
      <c r="D13" s="23">
        <f t="shared" ca="1" si="8"/>
        <v>1.0584498573865402</v>
      </c>
      <c r="E13" s="23">
        <f t="shared" ca="1" si="8"/>
        <v>1.0063970573780388</v>
      </c>
      <c r="F13" s="23">
        <f t="shared" ca="1" si="8"/>
        <v>1.0296243827020579</v>
      </c>
      <c r="G13" s="23">
        <f t="shared" ca="1" si="8"/>
        <v>1.0348306867694665</v>
      </c>
      <c r="H13" s="23">
        <f t="shared" ca="1" si="8"/>
        <v>1</v>
      </c>
      <c r="I13" s="23">
        <f t="shared" ca="1" si="8"/>
        <v>1</v>
      </c>
      <c r="J13" s="23">
        <f t="shared" ca="1" si="11"/>
        <v>1.1799704261682464</v>
      </c>
      <c r="K13" s="4">
        <f t="shared" ca="1" si="12"/>
        <v>9142.5937595348223</v>
      </c>
      <c r="L13" s="2">
        <f t="shared" ca="1" si="9"/>
        <v>2011370.6270976609</v>
      </c>
    </row>
    <row r="14" spans="1:12" ht="14.45" x14ac:dyDescent="0.3">
      <c r="A14">
        <f t="shared" si="13"/>
        <v>4</v>
      </c>
      <c r="B14" s="23">
        <f t="shared" ca="1" si="10"/>
        <v>1.0682308999617471</v>
      </c>
      <c r="C14" s="23">
        <f t="shared" ca="1" si="8"/>
        <v>1.0154787267203349</v>
      </c>
      <c r="D14" s="23">
        <f t="shared" ca="1" si="8"/>
        <v>0.98819443318731381</v>
      </c>
      <c r="E14" s="23">
        <f t="shared" ca="1" si="8"/>
        <v>0.95291198463728444</v>
      </c>
      <c r="F14" s="23">
        <f t="shared" ca="1" si="8"/>
        <v>1.043339439634571</v>
      </c>
      <c r="G14" s="23">
        <f t="shared" ca="1" si="8"/>
        <v>1.0379527472842129</v>
      </c>
      <c r="H14" s="23">
        <f t="shared" ca="1" si="8"/>
        <v>1</v>
      </c>
      <c r="I14" s="23">
        <f t="shared" ca="1" si="8"/>
        <v>1</v>
      </c>
      <c r="J14" s="23">
        <f t="shared" ca="1" si="11"/>
        <v>1.1062018121204378</v>
      </c>
      <c r="K14" s="4">
        <f t="shared" ca="1" si="12"/>
        <v>10113.553784278427</v>
      </c>
      <c r="L14" s="2">
        <f t="shared" ca="1" si="9"/>
        <v>2224981.8325412539</v>
      </c>
    </row>
    <row r="15" spans="1:12" ht="14.45" x14ac:dyDescent="0.3">
      <c r="A15">
        <f t="shared" si="13"/>
        <v>5</v>
      </c>
      <c r="B15" s="23">
        <f t="shared" ca="1" si="10"/>
        <v>1.0360566354469216</v>
      </c>
      <c r="C15" s="23">
        <f t="shared" ca="1" si="8"/>
        <v>1.0265750159888491</v>
      </c>
      <c r="D15" s="23">
        <f t="shared" ca="1" si="8"/>
        <v>1.0445935679505163</v>
      </c>
      <c r="E15" s="23">
        <f t="shared" ca="1" si="8"/>
        <v>1.0197884237195571</v>
      </c>
      <c r="F15" s="23">
        <f t="shared" ca="1" si="8"/>
        <v>1.0227089862585683</v>
      </c>
      <c r="G15" s="23">
        <f t="shared" ca="1" si="8"/>
        <v>0.96153821573639031</v>
      </c>
      <c r="H15" s="23">
        <f t="shared" ca="1" si="8"/>
        <v>1</v>
      </c>
      <c r="I15" s="23">
        <f t="shared" ca="1" si="8"/>
        <v>1</v>
      </c>
      <c r="J15" s="23">
        <f t="shared" ca="1" si="11"/>
        <v>1.114166852797069</v>
      </c>
      <c r="K15" s="4">
        <f t="shared" ca="1" si="12"/>
        <v>11268.186390423381</v>
      </c>
      <c r="L15" s="2">
        <f t="shared" ca="1" si="9"/>
        <v>2479001.0058931438</v>
      </c>
    </row>
    <row r="16" spans="1:12" x14ac:dyDescent="0.25">
      <c r="A16">
        <f t="shared" si="13"/>
        <v>6</v>
      </c>
      <c r="B16" s="23">
        <f t="shared" ca="1" si="10"/>
        <v>0.98996787591157231</v>
      </c>
      <c r="C16" s="23">
        <f t="shared" ca="1" si="8"/>
        <v>1.042098770202897</v>
      </c>
      <c r="D16" s="23">
        <f t="shared" ca="1" si="8"/>
        <v>0.98286475398226703</v>
      </c>
      <c r="E16" s="23">
        <f t="shared" ca="1" si="8"/>
        <v>1.0002010494629121</v>
      </c>
      <c r="F16" s="23">
        <f t="shared" ca="1" si="8"/>
        <v>0.99217048007156394</v>
      </c>
      <c r="G16" s="23">
        <f t="shared" ca="1" si="8"/>
        <v>0.9706562325327901</v>
      </c>
      <c r="H16" s="23">
        <f t="shared" ca="1" si="8"/>
        <v>1</v>
      </c>
      <c r="I16" s="23">
        <f t="shared" ca="1" si="8"/>
        <v>1</v>
      </c>
      <c r="J16" s="23">
        <f t="shared" ca="1" si="11"/>
        <v>0.97670362949615375</v>
      </c>
      <c r="K16" s="4">
        <f t="shared" ca="1" si="12"/>
        <v>11005.678545365681</v>
      </c>
      <c r="L16" s="2">
        <f t="shared" ca="1" si="9"/>
        <v>2421249.2799804499</v>
      </c>
    </row>
    <row r="17" spans="1:12" x14ac:dyDescent="0.25">
      <c r="A17">
        <f t="shared" si="13"/>
        <v>7</v>
      </c>
      <c r="B17" s="23">
        <f t="shared" ca="1" si="10"/>
        <v>1.0344095885162969</v>
      </c>
      <c r="C17" s="23">
        <f t="shared" ca="1" si="8"/>
        <v>1.0050250576465671</v>
      </c>
      <c r="D17" s="23">
        <f t="shared" ca="1" si="8"/>
        <v>1.0076115951405109</v>
      </c>
      <c r="E17" s="23">
        <f t="shared" ca="1" si="8"/>
        <v>0.9662213601799281</v>
      </c>
      <c r="F17" s="23">
        <f t="shared" ca="1" si="8"/>
        <v>0.99859034990781836</v>
      </c>
      <c r="G17" s="23">
        <f t="shared" ca="1" si="8"/>
        <v>1.0185632277831114</v>
      </c>
      <c r="H17" s="23">
        <f t="shared" ca="1" si="8"/>
        <v>1</v>
      </c>
      <c r="I17" s="23">
        <f t="shared" ca="1" si="8"/>
        <v>1</v>
      </c>
      <c r="J17" s="23">
        <f t="shared" ca="1" si="11"/>
        <v>1.0294720882407069</v>
      </c>
      <c r="K17" s="4">
        <f t="shared" ca="1" si="12"/>
        <v>11330.038874603553</v>
      </c>
      <c r="L17" s="2">
        <f t="shared" ca="1" si="9"/>
        <v>2492608.5524127819</v>
      </c>
    </row>
    <row r="18" spans="1:12" x14ac:dyDescent="0.25">
      <c r="A18">
        <f t="shared" si="13"/>
        <v>8</v>
      </c>
      <c r="B18" s="23">
        <f t="shared" ca="1" si="10"/>
        <v>0.95967477916073696</v>
      </c>
      <c r="C18" s="23">
        <f t="shared" ca="1" si="8"/>
        <v>1.0539557461994857</v>
      </c>
      <c r="D18" s="23">
        <f t="shared" ca="1" si="8"/>
        <v>1.0293234371103572</v>
      </c>
      <c r="E18" s="23">
        <f t="shared" ca="1" si="8"/>
        <v>1.0633272299206076</v>
      </c>
      <c r="F18" s="23">
        <f t="shared" ca="1" si="8"/>
        <v>0.95418882942375083</v>
      </c>
      <c r="G18" s="23">
        <f t="shared" ca="1" si="8"/>
        <v>1.0516377054587631</v>
      </c>
      <c r="H18" s="23">
        <f t="shared" ca="1" si="8"/>
        <v>1</v>
      </c>
      <c r="I18" s="23">
        <f t="shared" ca="1" si="8"/>
        <v>1</v>
      </c>
      <c r="J18" s="23">
        <f t="shared" ca="1" si="11"/>
        <v>1.1108763767280567</v>
      </c>
      <c r="K18" s="4">
        <f t="shared" ca="1" si="12"/>
        <v>12586.272533207624</v>
      </c>
      <c r="L18" s="2">
        <f t="shared" ca="1" si="9"/>
        <v>2768979.9573056772</v>
      </c>
    </row>
    <row r="19" spans="1:12" x14ac:dyDescent="0.25">
      <c r="A19">
        <f t="shared" si="13"/>
        <v>9</v>
      </c>
      <c r="B19" s="23">
        <f t="shared" ca="1" si="10"/>
        <v>1.0400357052615039</v>
      </c>
      <c r="C19" s="23">
        <f t="shared" ca="1" si="8"/>
        <v>1.0069092947967009</v>
      </c>
      <c r="D19" s="23">
        <f t="shared" ca="1" si="8"/>
        <v>1.0682209197901371</v>
      </c>
      <c r="E19" s="23">
        <f t="shared" ca="1" si="8"/>
        <v>0.99628463282225976</v>
      </c>
      <c r="F19" s="23">
        <f t="shared" ca="1" si="8"/>
        <v>1.0485074924721587</v>
      </c>
      <c r="G19" s="23">
        <f t="shared" ca="1" si="8"/>
        <v>0.97240194668500224</v>
      </c>
      <c r="H19" s="23">
        <f t="shared" ca="1" si="8"/>
        <v>1</v>
      </c>
      <c r="I19" s="23">
        <f t="shared" ca="1" si="8"/>
        <v>1</v>
      </c>
      <c r="J19" s="23">
        <f t="shared" ca="1" si="11"/>
        <v>1.1363195204553349</v>
      </c>
      <c r="K19" s="4">
        <f t="shared" ca="1" si="12"/>
        <v>14302.027169254641</v>
      </c>
      <c r="L19" s="2">
        <f t="shared" ca="1" si="9"/>
        <v>3146445.9772360208</v>
      </c>
    </row>
    <row r="20" spans="1:12" x14ac:dyDescent="0.25">
      <c r="A20">
        <f t="shared" si="13"/>
        <v>10</v>
      </c>
      <c r="B20" s="23">
        <f t="shared" ca="1" si="10"/>
        <v>1.0490743816554062</v>
      </c>
      <c r="C20" s="23">
        <f t="shared" ca="1" si="8"/>
        <v>1.0154366549609692</v>
      </c>
      <c r="D20" s="23">
        <f t="shared" ca="1" si="8"/>
        <v>1.0636236845230504</v>
      </c>
      <c r="E20" s="23">
        <f t="shared" ca="1" si="8"/>
        <v>1.061415372409338</v>
      </c>
      <c r="F20" s="23">
        <f t="shared" ca="1" si="8"/>
        <v>1.0137127931748904</v>
      </c>
      <c r="G20" s="23">
        <f t="shared" ca="1" si="8"/>
        <v>0.98065041331742486</v>
      </c>
      <c r="H20" s="23">
        <f t="shared" ca="1" si="8"/>
        <v>1</v>
      </c>
      <c r="I20" s="23">
        <f t="shared" ca="1" si="8"/>
        <v>1</v>
      </c>
      <c r="J20" s="23">
        <f t="shared" ca="1" si="11"/>
        <v>1.1955331805532088</v>
      </c>
      <c r="K20" s="4">
        <f t="shared" ca="1" si="12"/>
        <v>17098.548030017406</v>
      </c>
      <c r="L20" s="2">
        <f t="shared" ca="1" si="9"/>
        <v>3761680.5666038292</v>
      </c>
    </row>
    <row r="21" spans="1:12" x14ac:dyDescent="0.25">
      <c r="A21">
        <f t="shared" si="13"/>
        <v>11</v>
      </c>
      <c r="B21" s="23">
        <f t="shared" ca="1" si="10"/>
        <v>1.0489088570068268</v>
      </c>
      <c r="C21" s="23">
        <f t="shared" ca="1" si="8"/>
        <v>0.96380058015290204</v>
      </c>
      <c r="D21" s="23">
        <f t="shared" ca="1" si="8"/>
        <v>1.0059622078319972</v>
      </c>
      <c r="E21" s="23">
        <f t="shared" ca="1" si="8"/>
        <v>0.98547264264178613</v>
      </c>
      <c r="F21" s="23">
        <f t="shared" ca="1" si="8"/>
        <v>0.95157079447818371</v>
      </c>
      <c r="G21" s="23">
        <f t="shared" ca="1" si="8"/>
        <v>1.0434896920171279</v>
      </c>
      <c r="H21" s="23">
        <f t="shared" ca="1" si="8"/>
        <v>1</v>
      </c>
      <c r="I21" s="23">
        <f t="shared" ca="1" si="8"/>
        <v>1</v>
      </c>
      <c r="J21" s="23">
        <f t="shared" ca="1" si="11"/>
        <v>0.99513142609441885</v>
      </c>
      <c r="K21" s="4">
        <f t="shared" ca="1" si="12"/>
        <v>17015.302485255135</v>
      </c>
      <c r="L21" s="2">
        <f t="shared" ca="1" si="9"/>
        <v>3743366.5467561297</v>
      </c>
    </row>
    <row r="22" spans="1:12" x14ac:dyDescent="0.25">
      <c r="A22">
        <f t="shared" si="13"/>
        <v>12</v>
      </c>
      <c r="B22" s="23">
        <f t="shared" ca="1" si="10"/>
        <v>1.0441023305741439</v>
      </c>
      <c r="C22" s="23">
        <f t="shared" ca="1" si="8"/>
        <v>1.0099438120922217</v>
      </c>
      <c r="D22" s="23">
        <f t="shared" ca="1" si="8"/>
        <v>1.0375485831789855</v>
      </c>
      <c r="E22" s="23">
        <f t="shared" ca="1" si="8"/>
        <v>0.99336359243064931</v>
      </c>
      <c r="F22" s="23">
        <f t="shared" ca="1" si="8"/>
        <v>0.99602379234868255</v>
      </c>
      <c r="G22" s="23">
        <f t="shared" ca="1" si="8"/>
        <v>0.97150880087626679</v>
      </c>
      <c r="H22" s="23">
        <f t="shared" ca="1" si="8"/>
        <v>1</v>
      </c>
      <c r="I22" s="23">
        <f t="shared" ca="1" si="8"/>
        <v>1</v>
      </c>
      <c r="J22" s="23">
        <f t="shared" ca="1" si="11"/>
        <v>1.0516552883878116</v>
      </c>
      <c r="K22" s="4">
        <f t="shared" ca="1" si="12"/>
        <v>17894.232842136837</v>
      </c>
      <c r="L22" s="2">
        <f t="shared" ca="1" si="9"/>
        <v>3936731.2252701041</v>
      </c>
    </row>
    <row r="23" spans="1:12" x14ac:dyDescent="0.25">
      <c r="A23">
        <f t="shared" si="13"/>
        <v>13</v>
      </c>
      <c r="B23" s="23">
        <f t="shared" ca="1" si="10"/>
        <v>0.96727016143324684</v>
      </c>
      <c r="C23" s="23">
        <f t="shared" ca="1" si="8"/>
        <v>1.0131020421922663</v>
      </c>
      <c r="D23" s="23">
        <f t="shared" ca="1" si="8"/>
        <v>0.97046274555723033</v>
      </c>
      <c r="E23" s="23">
        <f t="shared" ca="1" si="8"/>
        <v>1.0036543778245084</v>
      </c>
      <c r="F23" s="23">
        <f t="shared" ca="1" si="8"/>
        <v>1.0217830363592093</v>
      </c>
      <c r="G23" s="23">
        <f t="shared" ca="1" si="8"/>
        <v>1.0152614317489088</v>
      </c>
      <c r="H23" s="23">
        <f t="shared" ca="1" si="8"/>
        <v>1</v>
      </c>
      <c r="I23" s="23">
        <f t="shared" ca="1" si="8"/>
        <v>1</v>
      </c>
      <c r="J23" s="23">
        <f t="shared" ca="1" si="11"/>
        <v>0.99014912861886406</v>
      </c>
      <c r="K23" s="4">
        <f t="shared" ca="1" si="12"/>
        <v>17717.959055944848</v>
      </c>
      <c r="L23" s="2">
        <f t="shared" ca="1" si="9"/>
        <v>3897950.9923078665</v>
      </c>
    </row>
    <row r="24" spans="1:12" x14ac:dyDescent="0.25">
      <c r="A24">
        <f t="shared" si="13"/>
        <v>14</v>
      </c>
      <c r="B24" s="23">
        <f t="shared" ca="1" si="10"/>
        <v>0.97905970651049212</v>
      </c>
      <c r="C24" s="23">
        <f t="shared" ca="1" si="8"/>
        <v>1.0153435425603814</v>
      </c>
      <c r="D24" s="23">
        <f t="shared" ca="1" si="8"/>
        <v>0.98796275970276048</v>
      </c>
      <c r="E24" s="23">
        <f t="shared" ca="1" si="8"/>
        <v>1.0593697519149654</v>
      </c>
      <c r="F24" s="23">
        <f t="shared" ca="1" si="8"/>
        <v>1.0674034280793923</v>
      </c>
      <c r="G24" s="23">
        <f t="shared" ca="1" si="8"/>
        <v>0.98880433386521716</v>
      </c>
      <c r="H24" s="23">
        <f t="shared" ca="1" si="8"/>
        <v>1</v>
      </c>
      <c r="I24" s="23">
        <f t="shared" ca="1" si="8"/>
        <v>1</v>
      </c>
      <c r="J24" s="23">
        <f t="shared" ca="1" si="11"/>
        <v>1.0981186968329026</v>
      </c>
      <c r="K24" s="4">
        <f t="shared" ca="1" si="12"/>
        <v>19456.422109052881</v>
      </c>
      <c r="L24" s="2">
        <f t="shared" ca="1" si="9"/>
        <v>4280412.863991634</v>
      </c>
    </row>
    <row r="25" spans="1:12" x14ac:dyDescent="0.25">
      <c r="A25">
        <f t="shared" si="13"/>
        <v>15</v>
      </c>
      <c r="B25" s="23">
        <f t="shared" ca="1" si="10"/>
        <v>1.0646779699379718</v>
      </c>
      <c r="C25" s="23">
        <f t="shared" ca="1" si="8"/>
        <v>1.0572101382457328</v>
      </c>
      <c r="D25" s="23">
        <f t="shared" ca="1" si="8"/>
        <v>1.0503641984387559</v>
      </c>
      <c r="E25" s="23">
        <f t="shared" ca="1" si="8"/>
        <v>0.9880383230150025</v>
      </c>
      <c r="F25" s="23">
        <f t="shared" ca="1" si="8"/>
        <v>0.95444231551387837</v>
      </c>
      <c r="G25" s="23">
        <f t="shared" ca="1" si="8"/>
        <v>0.95539682609213528</v>
      </c>
      <c r="H25" s="23">
        <f t="shared" ca="1" si="8"/>
        <v>1</v>
      </c>
      <c r="I25" s="23">
        <f t="shared" ca="1" si="8"/>
        <v>1</v>
      </c>
      <c r="J25" s="23">
        <f t="shared" ca="1" si="11"/>
        <v>1.065189231344966</v>
      </c>
      <c r="K25" s="4">
        <f t="shared" ca="1" si="12"/>
        <v>20724.77131106524</v>
      </c>
      <c r="L25" s="2">
        <f t="shared" ca="1" si="9"/>
        <v>4559449.6884343531</v>
      </c>
    </row>
    <row r="26" spans="1:12" x14ac:dyDescent="0.25">
      <c r="A26">
        <f t="shared" si="13"/>
        <v>16</v>
      </c>
      <c r="B26" s="23">
        <f t="shared" ca="1" si="10"/>
        <v>1.05823933003218</v>
      </c>
      <c r="C26" s="23">
        <f t="shared" ca="1" si="8"/>
        <v>1.0588106489222207</v>
      </c>
      <c r="D26" s="23">
        <f t="shared" ca="1" si="8"/>
        <v>0.96312650115397169</v>
      </c>
      <c r="E26" s="23">
        <f t="shared" ca="1" si="8"/>
        <v>1.0675660670872535</v>
      </c>
      <c r="F26" s="23">
        <f t="shared" ca="1" si="8"/>
        <v>1.0170099369073897</v>
      </c>
      <c r="G26" s="23">
        <f t="shared" ca="1" si="8"/>
        <v>1.0121117341901349</v>
      </c>
      <c r="H26" s="23">
        <f t="shared" ca="1" si="8"/>
        <v>1</v>
      </c>
      <c r="I26" s="23">
        <f t="shared" ca="1" si="8"/>
        <v>1</v>
      </c>
      <c r="J26" s="23">
        <f t="shared" ca="1" si="11"/>
        <v>1.1858614445573203</v>
      </c>
      <c r="K26" s="4">
        <f t="shared" ca="1" si="12"/>
        <v>24576.707245059937</v>
      </c>
      <c r="L26" s="2">
        <f t="shared" ca="1" si="9"/>
        <v>5406875.5939131863</v>
      </c>
    </row>
    <row r="27" spans="1:12" x14ac:dyDescent="0.25">
      <c r="A27">
        <f t="shared" si="13"/>
        <v>17</v>
      </c>
      <c r="B27" s="23">
        <f t="shared" ca="1" si="10"/>
        <v>1.019419484474992</v>
      </c>
      <c r="C27" s="23">
        <f t="shared" ca="1" si="10"/>
        <v>0.98778520702795558</v>
      </c>
      <c r="D27" s="23">
        <f t="shared" ca="1" si="10"/>
        <v>1.0559819327247315</v>
      </c>
      <c r="E27" s="23">
        <f t="shared" ca="1" si="10"/>
        <v>0.95960910906697849</v>
      </c>
      <c r="F27" s="23">
        <f t="shared" ca="1" si="10"/>
        <v>1.0283443293311687</v>
      </c>
      <c r="G27" s="23">
        <f t="shared" ca="1" si="10"/>
        <v>1.018234548763395</v>
      </c>
      <c r="H27" s="23">
        <f t="shared" ca="1" si="10"/>
        <v>1</v>
      </c>
      <c r="I27" s="23">
        <f t="shared" ca="1" si="10"/>
        <v>1</v>
      </c>
      <c r="J27" s="23">
        <f t="shared" ca="1" si="11"/>
        <v>1.0684462613980574</v>
      </c>
      <c r="K27" s="4">
        <f t="shared" ca="1" si="12"/>
        <v>26258.890973458841</v>
      </c>
      <c r="L27" s="2">
        <f t="shared" ca="1" si="9"/>
        <v>5776956.0141609451</v>
      </c>
    </row>
    <row r="28" spans="1:12" x14ac:dyDescent="0.25">
      <c r="A28">
        <f t="shared" si="13"/>
        <v>18</v>
      </c>
      <c r="B28" s="23">
        <f t="shared" ref="B28:I43" ca="1" si="14">((RAND()*2-1)*B$8*B$5+B$5)*B$7+1</f>
        <v>1.0425035180051834</v>
      </c>
      <c r="C28" s="23">
        <f t="shared" ca="1" si="14"/>
        <v>1.0189267100909041</v>
      </c>
      <c r="D28" s="23">
        <f t="shared" ca="1" si="14"/>
        <v>1.0410032454614351</v>
      </c>
      <c r="E28" s="23">
        <f t="shared" ca="1" si="14"/>
        <v>0.95032830259830037</v>
      </c>
      <c r="F28" s="23">
        <f t="shared" ca="1" si="14"/>
        <v>0.96656351790579098</v>
      </c>
      <c r="G28" s="23">
        <f t="shared" ca="1" si="14"/>
        <v>1.031719841892953</v>
      </c>
      <c r="H28" s="23">
        <f t="shared" ca="1" si="14"/>
        <v>1</v>
      </c>
      <c r="I28" s="23">
        <f t="shared" ca="1" si="14"/>
        <v>1</v>
      </c>
      <c r="J28" s="23">
        <f t="shared" ca="1" si="11"/>
        <v>1.0479447956525982</v>
      </c>
      <c r="K28" s="4">
        <f t="shared" ca="1" si="12"/>
        <v>27517.868135245182</v>
      </c>
      <c r="L28" s="2">
        <f t="shared" ca="1" si="9"/>
        <v>6053930.9897539401</v>
      </c>
    </row>
    <row r="29" spans="1:12" x14ac:dyDescent="0.25">
      <c r="A29">
        <f t="shared" si="13"/>
        <v>19</v>
      </c>
      <c r="B29" s="23">
        <f t="shared" ca="1" si="14"/>
        <v>1.0409699281983444</v>
      </c>
      <c r="C29" s="23">
        <f t="shared" ca="1" si="14"/>
        <v>1.0634843132200311</v>
      </c>
      <c r="D29" s="23">
        <f t="shared" ca="1" si="14"/>
        <v>1.0586475763982048</v>
      </c>
      <c r="E29" s="23">
        <f t="shared" ca="1" si="14"/>
        <v>1.0430184373882652</v>
      </c>
      <c r="F29" s="23">
        <f t="shared" ca="1" si="14"/>
        <v>1.0138855274882022</v>
      </c>
      <c r="G29" s="23">
        <f t="shared" ca="1" si="14"/>
        <v>0.99009467845597621</v>
      </c>
      <c r="H29" s="23">
        <f t="shared" ca="1" si="14"/>
        <v>1</v>
      </c>
      <c r="I29" s="23">
        <f t="shared" ca="1" si="14"/>
        <v>1</v>
      </c>
      <c r="J29" s="23">
        <f t="shared" ca="1" si="11"/>
        <v>1.2270953636136852</v>
      </c>
      <c r="K29" s="4">
        <f t="shared" ca="1" si="12"/>
        <v>33767.048405292131</v>
      </c>
      <c r="L29" s="2">
        <f t="shared" ca="1" si="9"/>
        <v>7428750.6491642687</v>
      </c>
    </row>
    <row r="30" spans="1:12" x14ac:dyDescent="0.25">
      <c r="A30">
        <f t="shared" si="13"/>
        <v>20</v>
      </c>
      <c r="B30" s="23">
        <f t="shared" ca="1" si="14"/>
        <v>1.0583212385198193</v>
      </c>
      <c r="C30" s="23">
        <f t="shared" ca="1" si="14"/>
        <v>1.0141037077242709</v>
      </c>
      <c r="D30" s="23">
        <f t="shared" ca="1" si="14"/>
        <v>1.0212356744804225</v>
      </c>
      <c r="E30" s="23">
        <f t="shared" ca="1" si="14"/>
        <v>1.0590935155045176</v>
      </c>
      <c r="F30" s="23">
        <f t="shared" ca="1" si="14"/>
        <v>0.96103383064136749</v>
      </c>
      <c r="G30" s="23">
        <f t="shared" ca="1" si="14"/>
        <v>1.0241588008467795</v>
      </c>
      <c r="H30" s="23">
        <f t="shared" ca="1" si="14"/>
        <v>1</v>
      </c>
      <c r="I30" s="23">
        <f t="shared" ca="1" si="14"/>
        <v>1</v>
      </c>
      <c r="J30" s="23">
        <f t="shared" ca="1" si="11"/>
        <v>1.1425261427673479</v>
      </c>
      <c r="K30" s="4">
        <f t="shared" ca="1" si="12"/>
        <v>38579.73556713674</v>
      </c>
      <c r="L30" s="2">
        <f t="shared" ca="1" si="9"/>
        <v>8487541.8247700837</v>
      </c>
    </row>
    <row r="31" spans="1:12" x14ac:dyDescent="0.25">
      <c r="A31">
        <f t="shared" si="13"/>
        <v>21</v>
      </c>
      <c r="B31" s="23">
        <f t="shared" ca="1" si="14"/>
        <v>0.98417139759457806</v>
      </c>
      <c r="C31" s="23">
        <f t="shared" ca="1" si="14"/>
        <v>1.0479167237766549</v>
      </c>
      <c r="D31" s="23">
        <f t="shared" ca="1" si="14"/>
        <v>1.056967736534228</v>
      </c>
      <c r="E31" s="23">
        <f t="shared" ca="1" si="14"/>
        <v>0.95924839511269988</v>
      </c>
      <c r="F31" s="23">
        <f t="shared" ca="1" si="14"/>
        <v>1.0040309560421612</v>
      </c>
      <c r="G31" s="23">
        <f t="shared" ca="1" si="14"/>
        <v>1.0278659299910531</v>
      </c>
      <c r="H31" s="23">
        <f t="shared" ca="1" si="14"/>
        <v>1</v>
      </c>
      <c r="I31" s="23">
        <f t="shared" ca="1" si="14"/>
        <v>1</v>
      </c>
      <c r="J31" s="23">
        <f t="shared" ca="1" si="11"/>
        <v>1.0791303246211545</v>
      </c>
      <c r="K31" s="4">
        <f t="shared" ca="1" si="12"/>
        <v>41632.562566362576</v>
      </c>
      <c r="L31" s="2">
        <f t="shared" ca="1" si="9"/>
        <v>9159163.7645997666</v>
      </c>
    </row>
    <row r="32" spans="1:12" x14ac:dyDescent="0.25">
      <c r="A32">
        <f t="shared" si="13"/>
        <v>22</v>
      </c>
      <c r="B32" s="23">
        <f t="shared" ca="1" si="14"/>
        <v>1.0325008772083768</v>
      </c>
      <c r="C32" s="23">
        <f t="shared" ca="1" si="14"/>
        <v>0.98930459824688466</v>
      </c>
      <c r="D32" s="23">
        <f t="shared" ca="1" si="14"/>
        <v>1.0687136005970801</v>
      </c>
      <c r="E32" s="23">
        <f t="shared" ca="1" si="14"/>
        <v>1.0622911529009318</v>
      </c>
      <c r="F32" s="23">
        <f t="shared" ca="1" si="14"/>
        <v>1.0320312099955451</v>
      </c>
      <c r="G32" s="23">
        <f t="shared" ca="1" si="14"/>
        <v>0.98148150462338524</v>
      </c>
      <c r="H32" s="23">
        <f t="shared" ca="1" si="14"/>
        <v>1</v>
      </c>
      <c r="I32" s="23">
        <f t="shared" ca="1" si="14"/>
        <v>1</v>
      </c>
      <c r="J32" s="23">
        <f t="shared" ca="1" si="11"/>
        <v>1.174627891630559</v>
      </c>
      <c r="K32" s="4">
        <f t="shared" ca="1" si="12"/>
        <v>48902.769190503808</v>
      </c>
      <c r="L32" s="2">
        <f t="shared" ca="1" si="9"/>
        <v>10758609.221910838</v>
      </c>
    </row>
    <row r="33" spans="1:12" x14ac:dyDescent="0.25">
      <c r="A33">
        <f t="shared" si="13"/>
        <v>23</v>
      </c>
      <c r="B33" s="23">
        <f t="shared" ca="1" si="14"/>
        <v>1.0219248969873098</v>
      </c>
      <c r="C33" s="23">
        <f t="shared" ca="1" si="14"/>
        <v>1.0075192302574567</v>
      </c>
      <c r="D33" s="23">
        <f t="shared" ca="1" si="14"/>
        <v>1.0044437615754744</v>
      </c>
      <c r="E33" s="23">
        <f t="shared" ca="1" si="14"/>
        <v>1.0161567648804504</v>
      </c>
      <c r="F33" s="23">
        <f t="shared" ca="1" si="14"/>
        <v>1.0352677217117612</v>
      </c>
      <c r="G33" s="23">
        <f t="shared" ca="1" si="14"/>
        <v>0.96435861327710304</v>
      </c>
      <c r="H33" s="23">
        <f t="shared" ca="1" si="14"/>
        <v>1</v>
      </c>
      <c r="I33" s="23">
        <f t="shared" ca="1" si="14"/>
        <v>1</v>
      </c>
      <c r="J33" s="23">
        <f t="shared" ca="1" si="11"/>
        <v>1.0491797502666784</v>
      </c>
      <c r="K33" s="4">
        <f t="shared" ca="1" si="12"/>
        <v>51307.795166641801</v>
      </c>
      <c r="L33" s="2">
        <f t="shared" ca="1" si="9"/>
        <v>11287714.936661197</v>
      </c>
    </row>
    <row r="34" spans="1:12" x14ac:dyDescent="0.25">
      <c r="A34">
        <f t="shared" si="13"/>
        <v>24</v>
      </c>
      <c r="B34" s="23">
        <f t="shared" ca="1" si="14"/>
        <v>0.97036561146904654</v>
      </c>
      <c r="C34" s="23">
        <f t="shared" ca="1" si="14"/>
        <v>1.0497853640669985</v>
      </c>
      <c r="D34" s="23">
        <f t="shared" ca="1" si="14"/>
        <v>1.0007388445714933</v>
      </c>
      <c r="E34" s="23">
        <f t="shared" ca="1" si="14"/>
        <v>0.98750083726231952</v>
      </c>
      <c r="F34" s="23">
        <f t="shared" ca="1" si="14"/>
        <v>0.99446050321276058</v>
      </c>
      <c r="G34" s="23">
        <f t="shared" ca="1" si="14"/>
        <v>0.97410697330073759</v>
      </c>
      <c r="H34" s="23">
        <f t="shared" ca="1" si="14"/>
        <v>1</v>
      </c>
      <c r="I34" s="23">
        <f t="shared" ca="1" si="14"/>
        <v>1</v>
      </c>
      <c r="J34" s="23">
        <f t="shared" ca="1" si="11"/>
        <v>0.97518796381489314</v>
      </c>
      <c r="K34" s="4">
        <f t="shared" ca="1" si="12"/>
        <v>50034.744296389035</v>
      </c>
      <c r="L34" s="2">
        <f t="shared" ca="1" si="9"/>
        <v>11007643.745205589</v>
      </c>
    </row>
    <row r="35" spans="1:12" x14ac:dyDescent="0.25">
      <c r="A35">
        <f t="shared" si="13"/>
        <v>25</v>
      </c>
      <c r="B35" s="23">
        <f t="shared" ca="1" si="14"/>
        <v>0.99506972336586785</v>
      </c>
      <c r="C35" s="23">
        <f t="shared" ca="1" si="14"/>
        <v>1.0115623831913412</v>
      </c>
      <c r="D35" s="23">
        <f t="shared" ca="1" si="14"/>
        <v>0.98306480566438637</v>
      </c>
      <c r="E35" s="23">
        <f t="shared" ca="1" si="14"/>
        <v>0.98985338824574298</v>
      </c>
      <c r="F35" s="23">
        <f t="shared" ca="1" si="14"/>
        <v>1.0404829728542795</v>
      </c>
      <c r="G35" s="23">
        <f t="shared" ca="1" si="14"/>
        <v>1.0158554493889613</v>
      </c>
      <c r="H35" s="23">
        <f t="shared" ca="1" si="14"/>
        <v>1</v>
      </c>
      <c r="I35" s="23">
        <f t="shared" ca="1" si="14"/>
        <v>1</v>
      </c>
      <c r="J35" s="23">
        <f t="shared" ca="1" si="11"/>
        <v>1.0352997229283896</v>
      </c>
      <c r="K35" s="4">
        <f t="shared" ca="1" si="12"/>
        <v>51800.956906844389</v>
      </c>
      <c r="L35" s="2">
        <f t="shared" ca="1" si="9"/>
        <v>11396210.519505765</v>
      </c>
    </row>
    <row r="36" spans="1:12" x14ac:dyDescent="0.25">
      <c r="A36">
        <f t="shared" si="13"/>
        <v>26</v>
      </c>
      <c r="B36" s="23">
        <f t="shared" ca="1" si="14"/>
        <v>0.9755969854754265</v>
      </c>
      <c r="C36" s="23">
        <f t="shared" ca="1" si="14"/>
        <v>0.99022850359951098</v>
      </c>
      <c r="D36" s="23">
        <f t="shared" ca="1" si="14"/>
        <v>1.0112977290321723</v>
      </c>
      <c r="E36" s="23">
        <f t="shared" ca="1" si="14"/>
        <v>0.95812379167032402</v>
      </c>
      <c r="F36" s="23">
        <f t="shared" ca="1" si="14"/>
        <v>0.96586486165203678</v>
      </c>
      <c r="G36" s="23">
        <f t="shared" ca="1" si="14"/>
        <v>0.95302740474454983</v>
      </c>
      <c r="H36" s="23">
        <f t="shared" ca="1" si="14"/>
        <v>1</v>
      </c>
      <c r="I36" s="23">
        <f t="shared" ca="1" si="14"/>
        <v>1</v>
      </c>
      <c r="J36" s="23">
        <f t="shared" ca="1" si="11"/>
        <v>0.8616448275116072</v>
      </c>
      <c r="K36" s="4">
        <f t="shared" ca="1" si="12"/>
        <v>44634.026578934128</v>
      </c>
      <c r="L36" s="2">
        <f t="shared" ca="1" si="9"/>
        <v>9819485.8473655079</v>
      </c>
    </row>
    <row r="37" spans="1:12" x14ac:dyDescent="0.25">
      <c r="A37">
        <f t="shared" si="13"/>
        <v>27</v>
      </c>
      <c r="B37" s="23">
        <f t="shared" ca="1" si="14"/>
        <v>0.96162094879009041</v>
      </c>
      <c r="C37" s="23">
        <f t="shared" ca="1" si="14"/>
        <v>0.96456054041681516</v>
      </c>
      <c r="D37" s="23">
        <f t="shared" ca="1" si="14"/>
        <v>1.0370855554600049</v>
      </c>
      <c r="E37" s="23">
        <f t="shared" ca="1" si="14"/>
        <v>1.0641410784807639</v>
      </c>
      <c r="F37" s="23">
        <f t="shared" ca="1" si="14"/>
        <v>1.0523484868379713</v>
      </c>
      <c r="G37" s="23">
        <f t="shared" ca="1" si="14"/>
        <v>1.034679824346761</v>
      </c>
      <c r="H37" s="23">
        <f t="shared" ca="1" si="14"/>
        <v>1</v>
      </c>
      <c r="I37" s="23">
        <f t="shared" ca="1" si="14"/>
        <v>1</v>
      </c>
      <c r="J37" s="23">
        <f t="shared" ca="1" si="11"/>
        <v>1.1145838923143059</v>
      </c>
      <c r="K37" s="4">
        <f t="shared" ca="1" si="12"/>
        <v>49748.36707400858</v>
      </c>
      <c r="L37" s="2">
        <f t="shared" ca="1" si="9"/>
        <v>10944640.756281888</v>
      </c>
    </row>
    <row r="38" spans="1:12" x14ac:dyDescent="0.25">
      <c r="A38">
        <f t="shared" si="13"/>
        <v>28</v>
      </c>
      <c r="B38" s="23">
        <f t="shared" ca="1" si="14"/>
        <v>1.0051510951263793</v>
      </c>
      <c r="C38" s="23">
        <f t="shared" ca="1" si="14"/>
        <v>0.95139526446586153</v>
      </c>
      <c r="D38" s="23">
        <f t="shared" ca="1" si="14"/>
        <v>0.95689619535740877</v>
      </c>
      <c r="E38" s="23">
        <f t="shared" ca="1" si="14"/>
        <v>1.0395325029409235</v>
      </c>
      <c r="F38" s="23">
        <f t="shared" ca="1" si="14"/>
        <v>1.0203319462435307</v>
      </c>
      <c r="G38" s="23">
        <f t="shared" ca="1" si="14"/>
        <v>1.0560159636642834</v>
      </c>
      <c r="H38" s="23">
        <f t="shared" ca="1" si="14"/>
        <v>1</v>
      </c>
      <c r="I38" s="23">
        <f t="shared" ca="1" si="14"/>
        <v>1</v>
      </c>
      <c r="J38" s="23">
        <f t="shared" ca="1" si="11"/>
        <v>1.0249606778515343</v>
      </c>
      <c r="K38" s="4">
        <f t="shared" ca="1" si="12"/>
        <v>50990.120038182788</v>
      </c>
      <c r="L38" s="2">
        <f t="shared" ca="1" si="9"/>
        <v>11217826.408400213</v>
      </c>
    </row>
    <row r="39" spans="1:12" x14ac:dyDescent="0.25">
      <c r="A39">
        <f t="shared" si="13"/>
        <v>29</v>
      </c>
      <c r="B39" s="23">
        <f t="shared" ca="1" si="14"/>
        <v>1.0258613018942015</v>
      </c>
      <c r="C39" s="23">
        <f t="shared" ca="1" si="14"/>
        <v>1.0382196561175376</v>
      </c>
      <c r="D39" s="23">
        <f t="shared" ca="1" si="14"/>
        <v>1.0532592761366903</v>
      </c>
      <c r="E39" s="23">
        <f t="shared" ca="1" si="14"/>
        <v>1.0391604536991144</v>
      </c>
      <c r="F39" s="23">
        <f t="shared" ca="1" si="14"/>
        <v>0.99844299139469972</v>
      </c>
      <c r="G39" s="23">
        <f t="shared" ca="1" si="14"/>
        <v>0.95746418049493687</v>
      </c>
      <c r="H39" s="23">
        <f t="shared" ca="1" si="14"/>
        <v>1</v>
      </c>
      <c r="I39" s="23">
        <f t="shared" ca="1" si="14"/>
        <v>1</v>
      </c>
      <c r="J39" s="23">
        <f t="shared" ca="1" si="11"/>
        <v>1.1144012904185703</v>
      </c>
      <c r="K39" s="4">
        <f t="shared" ca="1" si="12"/>
        <v>56823.455569148697</v>
      </c>
      <c r="L39" s="2">
        <f t="shared" ca="1" si="9"/>
        <v>12501160.225212714</v>
      </c>
    </row>
    <row r="40" spans="1:12" x14ac:dyDescent="0.25">
      <c r="A40">
        <f t="shared" si="13"/>
        <v>30</v>
      </c>
      <c r="B40" s="23">
        <f t="shared" ca="1" si="14"/>
        <v>0.97601997758050507</v>
      </c>
      <c r="C40" s="23">
        <f t="shared" ca="1" si="14"/>
        <v>1.0267459991378982</v>
      </c>
      <c r="D40" s="23">
        <f t="shared" ca="1" si="14"/>
        <v>1.0221076904960094</v>
      </c>
      <c r="E40" s="23">
        <f t="shared" ca="1" si="14"/>
        <v>0.9665064082769691</v>
      </c>
      <c r="F40" s="23">
        <f t="shared" ca="1" si="14"/>
        <v>1.0008386183073466</v>
      </c>
      <c r="G40" s="23">
        <f t="shared" ca="1" si="14"/>
        <v>0.95339905859128538</v>
      </c>
      <c r="H40" s="23">
        <f t="shared" ca="1" si="14"/>
        <v>1</v>
      </c>
      <c r="I40" s="23">
        <f t="shared" ca="1" si="14"/>
        <v>1</v>
      </c>
      <c r="J40" s="23">
        <f t="shared" ca="1" si="11"/>
        <v>0.94463034727164585</v>
      </c>
      <c r="K40" s="4">
        <f t="shared" ca="1" si="12"/>
        <v>53677.160567459869</v>
      </c>
      <c r="L40" s="2">
        <f t="shared" ca="1" si="9"/>
        <v>11808975.324841172</v>
      </c>
    </row>
    <row r="41" spans="1:12" x14ac:dyDescent="0.25">
      <c r="A41">
        <f t="shared" si="13"/>
        <v>31</v>
      </c>
      <c r="B41" s="23">
        <f t="shared" ca="1" si="14"/>
        <v>0.96805162702628711</v>
      </c>
      <c r="C41" s="23">
        <f t="shared" ca="1" si="14"/>
        <v>0.9882466224560843</v>
      </c>
      <c r="D41" s="23">
        <f t="shared" ca="1" si="14"/>
        <v>1.0480108636111316</v>
      </c>
      <c r="E41" s="23">
        <f t="shared" ca="1" si="14"/>
        <v>0.99593958033733199</v>
      </c>
      <c r="F41" s="23">
        <f t="shared" ca="1" si="14"/>
        <v>1.0439099323978784</v>
      </c>
      <c r="G41" s="23">
        <f t="shared" ca="1" si="14"/>
        <v>0.96921171233797321</v>
      </c>
      <c r="H41" s="23">
        <f t="shared" ca="1" si="14"/>
        <v>1</v>
      </c>
      <c r="I41" s="23">
        <f t="shared" ca="1" si="14"/>
        <v>1</v>
      </c>
      <c r="J41" s="23">
        <f t="shared" ca="1" si="11"/>
        <v>1.0102859614411623</v>
      </c>
      <c r="K41" s="4">
        <f t="shared" ca="1" si="12"/>
        <v>54229.281771327842</v>
      </c>
      <c r="L41" s="2">
        <f t="shared" ca="1" si="9"/>
        <v>11930441.989692125</v>
      </c>
    </row>
    <row r="42" spans="1:12" x14ac:dyDescent="0.25">
      <c r="A42">
        <f t="shared" si="13"/>
        <v>32</v>
      </c>
      <c r="B42" s="23">
        <f t="shared" ca="1" si="14"/>
        <v>0.95199859834808764</v>
      </c>
      <c r="C42" s="23">
        <f t="shared" ca="1" si="14"/>
        <v>1.0574133958952849</v>
      </c>
      <c r="D42" s="23">
        <f t="shared" ca="1" si="14"/>
        <v>0.96446836846892658</v>
      </c>
      <c r="E42" s="23">
        <f t="shared" ca="1" si="14"/>
        <v>1.0484482552355885</v>
      </c>
      <c r="F42" s="23">
        <f t="shared" ca="1" si="14"/>
        <v>0.98000014940584401</v>
      </c>
      <c r="G42" s="23">
        <f t="shared" ca="1" si="14"/>
        <v>1.0152462827207216</v>
      </c>
      <c r="H42" s="23">
        <f t="shared" ca="1" si="14"/>
        <v>1</v>
      </c>
      <c r="I42" s="23">
        <f t="shared" ca="1" si="14"/>
        <v>1</v>
      </c>
      <c r="J42" s="23">
        <f t="shared" ca="1" si="11"/>
        <v>1.0127765962415489</v>
      </c>
      <c r="K42" s="4">
        <f t="shared" ca="1" si="12"/>
        <v>54922.147408989287</v>
      </c>
      <c r="L42" s="2">
        <f t="shared" ca="1" si="9"/>
        <v>12082872.429977642</v>
      </c>
    </row>
    <row r="43" spans="1:12" x14ac:dyDescent="0.25">
      <c r="A43">
        <f t="shared" si="13"/>
        <v>33</v>
      </c>
      <c r="B43" s="23">
        <f t="shared" ca="1" si="14"/>
        <v>1.0391347393316632</v>
      </c>
      <c r="C43" s="23">
        <f t="shared" ca="1" si="14"/>
        <v>1.0119532725546427</v>
      </c>
      <c r="D43" s="23">
        <f t="shared" ca="1" si="14"/>
        <v>1.0414614426851747</v>
      </c>
      <c r="E43" s="23">
        <f t="shared" ca="1" si="14"/>
        <v>1.0553799182097836</v>
      </c>
      <c r="F43" s="23">
        <f t="shared" ca="1" si="14"/>
        <v>0.97174333348522701</v>
      </c>
      <c r="G43" s="23">
        <f t="shared" ca="1" si="14"/>
        <v>1.0202883948325052</v>
      </c>
      <c r="H43" s="23">
        <f t="shared" ca="1" si="14"/>
        <v>1</v>
      </c>
      <c r="I43" s="23">
        <f t="shared" ca="1" si="14"/>
        <v>1</v>
      </c>
      <c r="J43" s="23">
        <f t="shared" ca="1" si="11"/>
        <v>1.1459320391790873</v>
      </c>
      <c r="K43" s="4">
        <f t="shared" ca="1" si="12"/>
        <v>62937.04837647752</v>
      </c>
      <c r="L43" s="2">
        <f t="shared" ca="1" si="9"/>
        <v>13846150.642825054</v>
      </c>
    </row>
    <row r="44" spans="1:12" x14ac:dyDescent="0.25">
      <c r="A44">
        <f t="shared" si="13"/>
        <v>34</v>
      </c>
      <c r="B44" s="23">
        <f t="shared" ref="B44:I59" ca="1" si="15">((RAND()*2-1)*B$8*B$5+B$5)*B$7+1</f>
        <v>0.99974341233403619</v>
      </c>
      <c r="C44" s="23">
        <f t="shared" ca="1" si="15"/>
        <v>1.0230101580656477</v>
      </c>
      <c r="D44" s="23">
        <f t="shared" ca="1" si="15"/>
        <v>1.0619800804032036</v>
      </c>
      <c r="E44" s="23">
        <f t="shared" ca="1" si="15"/>
        <v>1.049898630156642</v>
      </c>
      <c r="F44" s="23">
        <f t="shared" ca="1" si="15"/>
        <v>0.95419937926825349</v>
      </c>
      <c r="G44" s="23">
        <f t="shared" ca="1" si="15"/>
        <v>1.0352450388074794</v>
      </c>
      <c r="H44" s="23">
        <f t="shared" ca="1" si="15"/>
        <v>1</v>
      </c>
      <c r="I44" s="23">
        <f t="shared" ca="1" si="15"/>
        <v>1</v>
      </c>
      <c r="J44" s="23">
        <f t="shared" ca="1" si="11"/>
        <v>1.1264567574528965</v>
      </c>
      <c r="K44" s="4">
        <f t="shared" ca="1" si="12"/>
        <v>70895.863437822947</v>
      </c>
      <c r="L44" s="2">
        <f t="shared" ca="1" si="9"/>
        <v>15597089.956321048</v>
      </c>
    </row>
    <row r="45" spans="1:12" x14ac:dyDescent="0.25">
      <c r="A45">
        <f t="shared" si="13"/>
        <v>35</v>
      </c>
      <c r="B45" s="23">
        <f t="shared" ca="1" si="15"/>
        <v>0.96962539569998318</v>
      </c>
      <c r="C45" s="23">
        <f t="shared" ca="1" si="15"/>
        <v>0.96024955335260931</v>
      </c>
      <c r="D45" s="23">
        <f t="shared" ca="1" si="15"/>
        <v>0.95706046766023123</v>
      </c>
      <c r="E45" s="23">
        <f t="shared" ca="1" si="15"/>
        <v>1.0622098840626368</v>
      </c>
      <c r="F45" s="23">
        <f t="shared" ca="1" si="15"/>
        <v>0.9648544765580479</v>
      </c>
      <c r="G45" s="23">
        <f t="shared" ca="1" si="15"/>
        <v>0.9700517954558121</v>
      </c>
      <c r="H45" s="23">
        <f t="shared" ca="1" si="15"/>
        <v>1</v>
      </c>
      <c r="I45" s="23">
        <f t="shared" ca="1" si="15"/>
        <v>1</v>
      </c>
      <c r="J45" s="23">
        <f t="shared" ca="1" si="11"/>
        <v>0.88592009231929436</v>
      </c>
      <c r="K45" s="4">
        <f t="shared" ca="1" si="12"/>
        <v>62808.069881892188</v>
      </c>
      <c r="L45" s="2">
        <f t="shared" ca="1" si="9"/>
        <v>13817775.374016281</v>
      </c>
    </row>
    <row r="46" spans="1:12" x14ac:dyDescent="0.25">
      <c r="A46">
        <f t="shared" si="13"/>
        <v>36</v>
      </c>
      <c r="B46" s="23">
        <f t="shared" ca="1" si="15"/>
        <v>1.0124566008246068</v>
      </c>
      <c r="C46" s="23">
        <f t="shared" ca="1" si="15"/>
        <v>1.0198222739035123</v>
      </c>
      <c r="D46" s="23">
        <f t="shared" ca="1" si="15"/>
        <v>0.98675241684887138</v>
      </c>
      <c r="E46" s="23">
        <f t="shared" ca="1" si="15"/>
        <v>0.97279447206525982</v>
      </c>
      <c r="F46" s="23">
        <f t="shared" ca="1" si="15"/>
        <v>1.0382342424821855</v>
      </c>
      <c r="G46" s="23">
        <f t="shared" ca="1" si="15"/>
        <v>1.0695650232495666</v>
      </c>
      <c r="H46" s="23">
        <f t="shared" ca="1" si="15"/>
        <v>1</v>
      </c>
      <c r="I46" s="23">
        <f t="shared" ca="1" si="15"/>
        <v>1</v>
      </c>
      <c r="J46" s="23">
        <f t="shared" ca="1" si="11"/>
        <v>1.1006081966190269</v>
      </c>
      <c r="K46" s="4">
        <f t="shared" ca="1" si="12"/>
        <v>69127.076525831173</v>
      </c>
      <c r="L46" s="2">
        <f t="shared" ca="1" si="9"/>
        <v>15207956.835682858</v>
      </c>
    </row>
    <row r="47" spans="1:12" x14ac:dyDescent="0.25">
      <c r="A47">
        <f t="shared" si="13"/>
        <v>37</v>
      </c>
      <c r="B47" s="23">
        <f t="shared" ca="1" si="15"/>
        <v>1.0306761126622728</v>
      </c>
      <c r="C47" s="23">
        <f t="shared" ca="1" si="15"/>
        <v>1.0031087878984093</v>
      </c>
      <c r="D47" s="23">
        <f t="shared" ca="1" si="15"/>
        <v>1.0077255315445948</v>
      </c>
      <c r="E47" s="23">
        <f t="shared" ca="1" si="15"/>
        <v>1.0483252994627572</v>
      </c>
      <c r="F47" s="23">
        <f t="shared" ca="1" si="15"/>
        <v>1.0667160946422636</v>
      </c>
      <c r="G47" s="23">
        <f t="shared" ca="1" si="15"/>
        <v>0.95846677486613263</v>
      </c>
      <c r="H47" s="23">
        <f t="shared" ca="1" si="15"/>
        <v>1</v>
      </c>
      <c r="I47" s="23">
        <f t="shared" ca="1" si="15"/>
        <v>1</v>
      </c>
      <c r="J47" s="23">
        <f t="shared" ca="1" si="11"/>
        <v>1.1166947778003644</v>
      </c>
      <c r="K47" s="4">
        <f t="shared" ca="1" si="12"/>
        <v>77193.845361001833</v>
      </c>
      <c r="L47" s="2">
        <f t="shared" ca="1" si="9"/>
        <v>16982645.979420405</v>
      </c>
    </row>
    <row r="48" spans="1:12" x14ac:dyDescent="0.25">
      <c r="A48">
        <f t="shared" si="13"/>
        <v>38</v>
      </c>
      <c r="B48" s="23">
        <f t="shared" ca="1" si="15"/>
        <v>1.0391794441910416</v>
      </c>
      <c r="C48" s="23">
        <f t="shared" ca="1" si="15"/>
        <v>0.95948777386478523</v>
      </c>
      <c r="D48" s="23">
        <f t="shared" ca="1" si="15"/>
        <v>0.99053439846696245</v>
      </c>
      <c r="E48" s="23">
        <f t="shared" ca="1" si="15"/>
        <v>1.0559617912337724</v>
      </c>
      <c r="F48" s="23">
        <f t="shared" ca="1" si="15"/>
        <v>1.0198784758042596</v>
      </c>
      <c r="G48" s="23">
        <f t="shared" ca="1" si="15"/>
        <v>0.95887476766226043</v>
      </c>
      <c r="H48" s="23">
        <f t="shared" ca="1" si="15"/>
        <v>1</v>
      </c>
      <c r="I48" s="23">
        <f t="shared" ca="1" si="15"/>
        <v>1</v>
      </c>
      <c r="J48" s="23">
        <f t="shared" ca="1" si="11"/>
        <v>1.0199011356884211</v>
      </c>
      <c r="K48" s="4">
        <f t="shared" ca="1" si="12"/>
        <v>78730.09055184212</v>
      </c>
      <c r="L48" s="2">
        <f t="shared" ca="1" si="9"/>
        <v>17320619.921405267</v>
      </c>
    </row>
    <row r="49" spans="1:12" x14ac:dyDescent="0.25">
      <c r="A49">
        <f>A48+1</f>
        <v>39</v>
      </c>
      <c r="B49" s="23">
        <f t="shared" ca="1" si="15"/>
        <v>1.0288229054455389</v>
      </c>
      <c r="C49" s="23">
        <f t="shared" ca="1" si="15"/>
        <v>0.9969417946261081</v>
      </c>
      <c r="D49" s="23">
        <f t="shared" ca="1" si="15"/>
        <v>1.0157668359087346</v>
      </c>
      <c r="E49" s="23">
        <f t="shared" ca="1" si="15"/>
        <v>1.059484056379832</v>
      </c>
      <c r="F49" s="23">
        <f t="shared" ca="1" si="15"/>
        <v>1.0623585868920253</v>
      </c>
      <c r="G49" s="23">
        <f t="shared" ca="1" si="15"/>
        <v>1.0273863653874638</v>
      </c>
      <c r="H49" s="23">
        <f t="shared" ca="1" si="15"/>
        <v>1</v>
      </c>
      <c r="I49" s="23">
        <f t="shared" ca="1" si="15"/>
        <v>1</v>
      </c>
      <c r="J49" s="23">
        <f t="shared" ca="1" si="11"/>
        <v>1.204769080887182</v>
      </c>
      <c r="K49" s="4">
        <f t="shared" ca="1" si="12"/>
        <v>94851.578832307452</v>
      </c>
      <c r="L49" s="2">
        <f t="shared" ca="1" si="9"/>
        <v>20867347.343107641</v>
      </c>
    </row>
    <row r="50" spans="1:12" x14ac:dyDescent="0.25">
      <c r="A50">
        <f t="shared" si="13"/>
        <v>40</v>
      </c>
      <c r="B50" s="23">
        <f t="shared" ca="1" si="15"/>
        <v>0.98137854830906335</v>
      </c>
      <c r="C50" s="23">
        <f t="shared" ca="1" si="15"/>
        <v>0.98750955536677953</v>
      </c>
      <c r="D50" s="23">
        <f t="shared" ca="1" si="15"/>
        <v>1.0538142426367378</v>
      </c>
      <c r="E50" s="23">
        <f t="shared" ca="1" si="15"/>
        <v>1.0209852579904228</v>
      </c>
      <c r="F50" s="23">
        <f t="shared" ca="1" si="15"/>
        <v>1.0543886607722179</v>
      </c>
      <c r="G50" s="23">
        <f t="shared" ca="1" si="15"/>
        <v>1.055999169705677</v>
      </c>
      <c r="H50" s="23">
        <f t="shared" ca="1" si="15"/>
        <v>1</v>
      </c>
      <c r="I50" s="23">
        <f t="shared" ca="1" si="15"/>
        <v>1</v>
      </c>
      <c r="J50" s="23">
        <f t="shared" ca="1" si="11"/>
        <v>1.1609825869285209</v>
      </c>
      <c r="K50" s="4">
        <f t="shared" ca="1" si="12"/>
        <v>110121.03136698683</v>
      </c>
      <c r="L50" s="2">
        <f t="shared" ca="1" si="9"/>
        <v>24226626.900737103</v>
      </c>
    </row>
    <row r="51" spans="1:12" x14ac:dyDescent="0.25">
      <c r="A51">
        <f t="shared" si="13"/>
        <v>41</v>
      </c>
      <c r="B51" s="23">
        <f t="shared" ca="1" si="15"/>
        <v>0.98509305207152742</v>
      </c>
      <c r="C51" s="23">
        <f t="shared" ca="1" si="15"/>
        <v>1.0529311775101404</v>
      </c>
      <c r="D51" s="23">
        <f t="shared" ca="1" si="15"/>
        <v>1.034668599523114</v>
      </c>
      <c r="E51" s="23">
        <f t="shared" ca="1" si="15"/>
        <v>0.95146858121724354</v>
      </c>
      <c r="F51" s="23">
        <f t="shared" ca="1" si="15"/>
        <v>1.0225020902684605</v>
      </c>
      <c r="G51" s="23">
        <f t="shared" ca="1" si="15"/>
        <v>0.97571856022119996</v>
      </c>
      <c r="H51" s="23">
        <f t="shared" ca="1" si="15"/>
        <v>1</v>
      </c>
      <c r="I51" s="23">
        <f t="shared" ca="1" si="15"/>
        <v>1</v>
      </c>
      <c r="J51" s="23">
        <f t="shared" ca="1" si="11"/>
        <v>1.0187361869667553</v>
      </c>
      <c r="K51" s="4">
        <f t="shared" ca="1" si="12"/>
        <v>112184.27959965062</v>
      </c>
      <c r="L51" s="2">
        <f t="shared" ca="1" si="9"/>
        <v>24680541.511923134</v>
      </c>
    </row>
    <row r="52" spans="1:12" x14ac:dyDescent="0.25">
      <c r="A52">
        <f t="shared" si="13"/>
        <v>42</v>
      </c>
      <c r="B52" s="23">
        <f t="shared" ca="1" si="15"/>
        <v>1.0412720258385799</v>
      </c>
      <c r="C52" s="23">
        <f t="shared" ca="1" si="15"/>
        <v>0.9777845165000516</v>
      </c>
      <c r="D52" s="23">
        <f t="shared" ca="1" si="15"/>
        <v>1.0540773879950918</v>
      </c>
      <c r="E52" s="23">
        <f t="shared" ca="1" si="15"/>
        <v>0.97443932641553177</v>
      </c>
      <c r="F52" s="23">
        <f t="shared" ca="1" si="15"/>
        <v>0.97205604591187156</v>
      </c>
      <c r="G52" s="23">
        <f t="shared" ca="1" si="15"/>
        <v>0.9568772044516779</v>
      </c>
      <c r="H52" s="23">
        <f t="shared" ca="1" si="15"/>
        <v>1</v>
      </c>
      <c r="I52" s="23">
        <f t="shared" ca="1" si="15"/>
        <v>1</v>
      </c>
      <c r="J52" s="23">
        <f t="shared" ca="1" si="11"/>
        <v>0.97270729084864294</v>
      </c>
      <c r="K52" s="4">
        <f t="shared" ca="1" si="12"/>
        <v>109122.46668518284</v>
      </c>
      <c r="L52" s="2">
        <f t="shared" ca="1" si="9"/>
        <v>24006942.670740224</v>
      </c>
    </row>
    <row r="53" spans="1:12" x14ac:dyDescent="0.25">
      <c r="A53">
        <f t="shared" si="13"/>
        <v>43</v>
      </c>
      <c r="B53" s="23">
        <f t="shared" ca="1" si="15"/>
        <v>1.0629790084348232</v>
      </c>
      <c r="C53" s="23">
        <f t="shared" ca="1" si="15"/>
        <v>1.0200641536811432</v>
      </c>
      <c r="D53" s="23">
        <f t="shared" ca="1" si="15"/>
        <v>0.95102077827401121</v>
      </c>
      <c r="E53" s="23">
        <f t="shared" ca="1" si="15"/>
        <v>1.0397193914400065</v>
      </c>
      <c r="F53" s="23">
        <f t="shared" ca="1" si="15"/>
        <v>1.0487685244869878</v>
      </c>
      <c r="G53" s="23">
        <f t="shared" ca="1" si="15"/>
        <v>0.9964390627867068</v>
      </c>
      <c r="H53" s="23">
        <f t="shared" ca="1" si="15"/>
        <v>1</v>
      </c>
      <c r="I53" s="23">
        <f t="shared" ca="1" si="15"/>
        <v>1</v>
      </c>
      <c r="J53" s="23">
        <f t="shared" ca="1" si="11"/>
        <v>1.1204402802079867</v>
      </c>
      <c r="K53" s="4">
        <f t="shared" ca="1" si="12"/>
        <v>122265.20714973295</v>
      </c>
      <c r="L53" s="2">
        <f t="shared" ca="1" si="9"/>
        <v>26898345.572941247</v>
      </c>
    </row>
    <row r="54" spans="1:12" x14ac:dyDescent="0.25">
      <c r="A54">
        <f t="shared" si="13"/>
        <v>44</v>
      </c>
      <c r="B54" s="23">
        <f t="shared" ca="1" si="15"/>
        <v>1.0431364189122152</v>
      </c>
      <c r="C54" s="23">
        <f t="shared" ca="1" si="15"/>
        <v>1.0537430228887492</v>
      </c>
      <c r="D54" s="23">
        <f t="shared" ca="1" si="15"/>
        <v>0.97681024135371153</v>
      </c>
      <c r="E54" s="23">
        <f t="shared" ca="1" si="15"/>
        <v>1.0631164260243833</v>
      </c>
      <c r="F54" s="23">
        <f t="shared" ca="1" si="15"/>
        <v>0.96660693117136953</v>
      </c>
      <c r="G54" s="23">
        <f t="shared" ca="1" si="15"/>
        <v>1.0515390769573842</v>
      </c>
      <c r="H54" s="23">
        <f t="shared" ca="1" si="15"/>
        <v>1</v>
      </c>
      <c r="I54" s="23">
        <f t="shared" ca="1" si="15"/>
        <v>1</v>
      </c>
      <c r="J54" s="23">
        <f t="shared" ca="1" si="11"/>
        <v>1.1602248801312742</v>
      </c>
      <c r="K54" s="4">
        <f t="shared" ca="1" si="12"/>
        <v>141855.13530952431</v>
      </c>
      <c r="L54" s="2">
        <f t="shared" ca="1" si="9"/>
        <v>31208129.768095348</v>
      </c>
    </row>
    <row r="55" spans="1:12" x14ac:dyDescent="0.25">
      <c r="A55">
        <f>A54+1</f>
        <v>45</v>
      </c>
      <c r="B55" s="23">
        <f t="shared" ca="1" si="15"/>
        <v>1.0510502543749742</v>
      </c>
      <c r="C55" s="23">
        <f t="shared" ca="1" si="15"/>
        <v>1.0017127837275921</v>
      </c>
      <c r="D55" s="23">
        <f t="shared" ca="1" si="15"/>
        <v>1.0488509559385011</v>
      </c>
      <c r="E55" s="23">
        <f t="shared" ca="1" si="15"/>
        <v>1.0025519491906414</v>
      </c>
      <c r="F55" s="23">
        <f t="shared" ca="1" si="15"/>
        <v>0.97048757702592581</v>
      </c>
      <c r="G55" s="23">
        <f t="shared" ca="1" si="15"/>
        <v>0.95367552151149537</v>
      </c>
      <c r="H55" s="23">
        <f t="shared" ca="1" si="15"/>
        <v>1</v>
      </c>
      <c r="I55" s="23">
        <f t="shared" ca="1" si="15"/>
        <v>1</v>
      </c>
      <c r="J55" s="23">
        <f t="shared" ca="1" si="11"/>
        <v>1.0246557415223749</v>
      </c>
      <c r="K55" s="4">
        <f t="shared" ca="1" si="12"/>
        <v>145352.67885933747</v>
      </c>
      <c r="L55" s="2">
        <f t="shared" ca="1" si="9"/>
        <v>31977589.349054243</v>
      </c>
    </row>
    <row r="56" spans="1:12" x14ac:dyDescent="0.25">
      <c r="A56">
        <f t="shared" si="13"/>
        <v>46</v>
      </c>
      <c r="B56" s="23">
        <f t="shared" ca="1" si="15"/>
        <v>1.010742389334891</v>
      </c>
      <c r="C56" s="23">
        <f t="shared" ca="1" si="15"/>
        <v>0.99058103021702182</v>
      </c>
      <c r="D56" s="23">
        <f t="shared" ca="1" si="15"/>
        <v>1.0602213490673558</v>
      </c>
      <c r="E56" s="23">
        <f t="shared" ca="1" si="15"/>
        <v>0.99816842141336348</v>
      </c>
      <c r="F56" s="23">
        <f t="shared" ca="1" si="15"/>
        <v>0.95461969493845344</v>
      </c>
      <c r="G56" s="23">
        <f t="shared" ca="1" si="15"/>
        <v>0.99198721910821008</v>
      </c>
      <c r="H56" s="23">
        <f t="shared" ca="1" si="15"/>
        <v>1</v>
      </c>
      <c r="I56" s="23">
        <f t="shared" ca="1" si="15"/>
        <v>1</v>
      </c>
      <c r="J56" s="23">
        <f t="shared" ca="1" si="11"/>
        <v>1.003384354494645</v>
      </c>
      <c r="K56" s="4">
        <f t="shared" ca="1" si="12"/>
        <v>145844.60385134377</v>
      </c>
      <c r="L56" s="2">
        <f t="shared" ca="1" si="9"/>
        <v>32085812.847295627</v>
      </c>
    </row>
    <row r="57" spans="1:12" x14ac:dyDescent="0.25">
      <c r="A57">
        <f t="shared" si="13"/>
        <v>47</v>
      </c>
      <c r="B57" s="23">
        <f t="shared" ca="1" si="15"/>
        <v>1.063546753760074</v>
      </c>
      <c r="C57" s="23">
        <f t="shared" ca="1" si="15"/>
        <v>1.0180816611707579</v>
      </c>
      <c r="D57" s="23">
        <f t="shared" ca="1" si="15"/>
        <v>0.99306354536838815</v>
      </c>
      <c r="E57" s="23">
        <f t="shared" ca="1" si="15"/>
        <v>1.0084175625252483</v>
      </c>
      <c r="F57" s="23">
        <f t="shared" ca="1" si="15"/>
        <v>0.97302672751484987</v>
      </c>
      <c r="G57" s="23">
        <f t="shared" ca="1" si="15"/>
        <v>1.045374311448781</v>
      </c>
      <c r="H57" s="23">
        <f t="shared" ca="1" si="15"/>
        <v>1</v>
      </c>
      <c r="I57" s="23">
        <f t="shared" ca="1" si="15"/>
        <v>1</v>
      </c>
      <c r="J57" s="23">
        <f t="shared" ca="1" si="11"/>
        <v>1.1029434214832043</v>
      </c>
      <c r="K57" s="4">
        <f t="shared" ca="1" si="12"/>
        <v>160858.34637666363</v>
      </c>
      <c r="L57" s="2">
        <f t="shared" ca="1" si="9"/>
        <v>35388836.202865995</v>
      </c>
    </row>
    <row r="58" spans="1:12" x14ac:dyDescent="0.25">
      <c r="A58">
        <f t="shared" si="13"/>
        <v>48</v>
      </c>
      <c r="B58" s="23">
        <f t="shared" ca="1" si="15"/>
        <v>1.0509440113715076</v>
      </c>
      <c r="C58" s="23">
        <f t="shared" ca="1" si="15"/>
        <v>1.0626180198582453</v>
      </c>
      <c r="D58" s="23">
        <f t="shared" ca="1" si="15"/>
        <v>1.0349189612201912</v>
      </c>
      <c r="E58" s="23">
        <f t="shared" ca="1" si="15"/>
        <v>1.0504195760480868</v>
      </c>
      <c r="F58" s="23">
        <f t="shared" ca="1" si="15"/>
        <v>1.0241357987578987</v>
      </c>
      <c r="G58" s="23">
        <f t="shared" ca="1" si="15"/>
        <v>1.0418541285229661</v>
      </c>
      <c r="H58" s="23">
        <f t="shared" ca="1" si="15"/>
        <v>1</v>
      </c>
      <c r="I58" s="23">
        <f t="shared" ca="1" si="15"/>
        <v>1</v>
      </c>
      <c r="J58" s="23">
        <f t="shared" ca="1" si="11"/>
        <v>1.2953596690152935</v>
      </c>
      <c r="K58" s="4">
        <f t="shared" ca="1" si="12"/>
        <v>208369.41432082243</v>
      </c>
      <c r="L58" s="2">
        <f t="shared" ca="1" si="9"/>
        <v>45841271.150580935</v>
      </c>
    </row>
    <row r="59" spans="1:12" x14ac:dyDescent="0.25">
      <c r="A59">
        <f>A58+1</f>
        <v>49</v>
      </c>
      <c r="B59" s="23">
        <f t="shared" ca="1" si="15"/>
        <v>1.0097604241753115</v>
      </c>
      <c r="C59" s="23">
        <f t="shared" ca="1" si="15"/>
        <v>1.0369516559518774</v>
      </c>
      <c r="D59" s="23">
        <f t="shared" ca="1" si="15"/>
        <v>0.97297595129703029</v>
      </c>
      <c r="E59" s="23">
        <f t="shared" ca="1" si="15"/>
        <v>1.0207631490946307</v>
      </c>
      <c r="F59" s="23">
        <f t="shared" ca="1" si="15"/>
        <v>1.0318734189743672</v>
      </c>
      <c r="G59" s="23">
        <f t="shared" ca="1" si="15"/>
        <v>1.0688359720784084</v>
      </c>
      <c r="H59" s="23">
        <f t="shared" ca="1" si="15"/>
        <v>1</v>
      </c>
      <c r="I59" s="23">
        <f t="shared" ca="1" si="15"/>
        <v>1</v>
      </c>
      <c r="J59" s="23">
        <f t="shared" ca="1" si="11"/>
        <v>1.1469419321234318</v>
      </c>
      <c r="K59" s="4">
        <f t="shared" ca="1" si="12"/>
        <v>238987.61865655196</v>
      </c>
      <c r="L59" s="2">
        <f t="shared" ca="1" si="9"/>
        <v>52577276.104441434</v>
      </c>
    </row>
    <row r="60" spans="1:12" x14ac:dyDescent="0.25">
      <c r="A60">
        <f t="shared" si="13"/>
        <v>50</v>
      </c>
      <c r="B60" s="23">
        <f t="shared" ref="B60:I62" ca="1" si="16">((RAND()*2-1)*B$8*B$5+B$5)*B$7+1</f>
        <v>0.96066816559368184</v>
      </c>
      <c r="C60" s="23">
        <f t="shared" ca="1" si="16"/>
        <v>1.0668618715461149</v>
      </c>
      <c r="D60" s="23">
        <f t="shared" ca="1" si="16"/>
        <v>1.004585030106536</v>
      </c>
      <c r="E60" s="23">
        <f t="shared" ca="1" si="16"/>
        <v>1.0061535756648197</v>
      </c>
      <c r="F60" s="23">
        <f t="shared" ca="1" si="16"/>
        <v>1.0318971049094789</v>
      </c>
      <c r="G60" s="23">
        <f t="shared" ca="1" si="16"/>
        <v>1.0164227138215094</v>
      </c>
      <c r="H60" s="23">
        <f t="shared" ca="1" si="16"/>
        <v>1</v>
      </c>
      <c r="I60" s="23">
        <f t="shared" ca="1" si="16"/>
        <v>1</v>
      </c>
      <c r="J60" s="23">
        <f t="shared" ca="1" si="11"/>
        <v>1.0865340135806196</v>
      </c>
      <c r="K60" s="4">
        <f t="shared" ca="1" si="12"/>
        <v>259668.17649497796</v>
      </c>
      <c r="L60" s="2">
        <f t="shared" ca="1" si="9"/>
        <v>57126998.828895152</v>
      </c>
    </row>
    <row r="61" spans="1:12" x14ac:dyDescent="0.25">
      <c r="A61">
        <f t="shared" si="13"/>
        <v>51</v>
      </c>
      <c r="B61" s="23">
        <f t="shared" ca="1" si="16"/>
        <v>1.0374246617648835</v>
      </c>
      <c r="C61" s="23">
        <f t="shared" ca="1" si="16"/>
        <v>0.97936318911880371</v>
      </c>
      <c r="D61" s="23">
        <f t="shared" ca="1" si="16"/>
        <v>0.95448714917957744</v>
      </c>
      <c r="E61" s="23">
        <f t="shared" ca="1" si="16"/>
        <v>0.97667837126115953</v>
      </c>
      <c r="F61" s="23">
        <f t="shared" ca="1" si="16"/>
        <v>1.0614424923675161</v>
      </c>
      <c r="G61" s="23">
        <f t="shared" ca="1" si="16"/>
        <v>1.0680789283355325</v>
      </c>
      <c r="H61" s="23">
        <f t="shared" ca="1" si="16"/>
        <v>1</v>
      </c>
      <c r="I61" s="23">
        <f t="shared" ca="1" si="16"/>
        <v>1</v>
      </c>
      <c r="J61" s="23">
        <f t="shared" ca="1" si="11"/>
        <v>1.0737960866273955</v>
      </c>
      <c r="K61" s="4">
        <f t="shared" ca="1" si="12"/>
        <v>278830.67174197914</v>
      </c>
      <c r="L61" s="2">
        <f t="shared" ca="1" si="9"/>
        <v>61342747.783235408</v>
      </c>
    </row>
    <row r="62" spans="1:12" x14ac:dyDescent="0.25">
      <c r="A62">
        <f t="shared" si="13"/>
        <v>52</v>
      </c>
      <c r="B62" s="23">
        <f t="shared" ca="1" si="16"/>
        <v>0.99307292513983325</v>
      </c>
      <c r="C62" s="23">
        <f t="shared" ca="1" si="16"/>
        <v>1.0039058299164016</v>
      </c>
      <c r="D62" s="23">
        <f t="shared" ca="1" si="16"/>
        <v>1.0255414225416257</v>
      </c>
      <c r="E62" s="23">
        <f t="shared" ca="1" si="16"/>
        <v>1.0548645042093043</v>
      </c>
      <c r="F62" s="23">
        <f t="shared" ca="1" si="16"/>
        <v>0.97128763337817459</v>
      </c>
      <c r="G62" s="23">
        <f t="shared" ca="1" si="16"/>
        <v>1.0433759944888414</v>
      </c>
      <c r="H62" s="23">
        <f t="shared" ca="1" si="16"/>
        <v>1</v>
      </c>
      <c r="I62" s="23">
        <f t="shared" ca="1" si="16"/>
        <v>1</v>
      </c>
      <c r="J62" s="23">
        <f t="shared" ca="1" si="11"/>
        <v>1.0929812277756266</v>
      </c>
      <c r="K62" s="4">
        <f t="shared" ca="1" si="12"/>
        <v>304756.68994205107</v>
      </c>
      <c r="L62" s="2">
        <f t="shared" ca="1" si="9"/>
        <v>67046471.787251234</v>
      </c>
    </row>
    <row r="63" spans="1:12" x14ac:dyDescent="0.25">
      <c r="B63" s="23"/>
    </row>
    <row r="64" spans="1:12" x14ac:dyDescent="0.25">
      <c r="B64" s="23"/>
    </row>
    <row r="65" spans="2:2" x14ac:dyDescent="0.25">
      <c r="B65" s="23"/>
    </row>
    <row r="66" spans="2:2" x14ac:dyDescent="0.25">
      <c r="B66" s="23"/>
    </row>
    <row r="67" spans="2:2" x14ac:dyDescent="0.25">
      <c r="B67" s="23"/>
    </row>
    <row r="68" spans="2:2" x14ac:dyDescent="0.25">
      <c r="B68" s="23"/>
    </row>
    <row r="69" spans="2:2" x14ac:dyDescent="0.25">
      <c r="B69" s="23"/>
    </row>
    <row r="70" spans="2:2" x14ac:dyDescent="0.25">
      <c r="B70" s="23"/>
    </row>
    <row r="71" spans="2:2" x14ac:dyDescent="0.25">
      <c r="B71" s="23"/>
    </row>
    <row r="72" spans="2:2" x14ac:dyDescent="0.25">
      <c r="B72" s="23"/>
    </row>
    <row r="73" spans="2:2" x14ac:dyDescent="0.25">
      <c r="B73" s="23"/>
    </row>
    <row r="74" spans="2:2" x14ac:dyDescent="0.25">
      <c r="B74" s="23"/>
    </row>
    <row r="75" spans="2:2" x14ac:dyDescent="0.25">
      <c r="B75" s="23"/>
    </row>
    <row r="76" spans="2:2" x14ac:dyDescent="0.25">
      <c r="B76" s="23"/>
    </row>
    <row r="77" spans="2:2" x14ac:dyDescent="0.25">
      <c r="B77" s="23"/>
    </row>
    <row r="78" spans="2:2" x14ac:dyDescent="0.25">
      <c r="B78" s="23"/>
    </row>
    <row r="79" spans="2:2" x14ac:dyDescent="0.25">
      <c r="B79" s="23"/>
    </row>
    <row r="80" spans="2:2" x14ac:dyDescent="0.25">
      <c r="B80" s="23"/>
    </row>
    <row r="81" spans="2:2" x14ac:dyDescent="0.25">
      <c r="B81" s="23"/>
    </row>
    <row r="82" spans="2:2" x14ac:dyDescent="0.25">
      <c r="B82" s="23"/>
    </row>
    <row r="83" spans="2:2" x14ac:dyDescent="0.25">
      <c r="B83" s="23"/>
    </row>
    <row r="84" spans="2:2" x14ac:dyDescent="0.25">
      <c r="B84" s="23"/>
    </row>
    <row r="85" spans="2:2" x14ac:dyDescent="0.25">
      <c r="B85" s="23"/>
    </row>
    <row r="86" spans="2:2" x14ac:dyDescent="0.25">
      <c r="B86" s="23"/>
    </row>
    <row r="87" spans="2:2" x14ac:dyDescent="0.25">
      <c r="B87" s="23"/>
    </row>
    <row r="88" spans="2:2" x14ac:dyDescent="0.25">
      <c r="B88" s="23"/>
    </row>
    <row r="89" spans="2:2" x14ac:dyDescent="0.25">
      <c r="B89" s="23"/>
    </row>
    <row r="90" spans="2:2" x14ac:dyDescent="0.25">
      <c r="B90" s="23"/>
    </row>
    <row r="91" spans="2:2" x14ac:dyDescent="0.25">
      <c r="B91" s="23"/>
    </row>
    <row r="92" spans="2:2" x14ac:dyDescent="0.25">
      <c r="B92" s="23"/>
    </row>
    <row r="93" spans="2:2" x14ac:dyDescent="0.25">
      <c r="B93" s="23"/>
    </row>
    <row r="94" spans="2:2" x14ac:dyDescent="0.25">
      <c r="B94" s="23"/>
    </row>
    <row r="95" spans="2:2" x14ac:dyDescent="0.25">
      <c r="B95" s="23"/>
    </row>
    <row r="96" spans="2:2" x14ac:dyDescent="0.25">
      <c r="B96" s="23"/>
    </row>
    <row r="97" spans="2:2" x14ac:dyDescent="0.25">
      <c r="B97" s="23"/>
    </row>
    <row r="98" spans="2:2" x14ac:dyDescent="0.25">
      <c r="B98" s="23"/>
    </row>
    <row r="99" spans="2:2" x14ac:dyDescent="0.25">
      <c r="B99" s="23"/>
    </row>
    <row r="100" spans="2:2" x14ac:dyDescent="0.25">
      <c r="B100" s="23"/>
    </row>
    <row r="101" spans="2:2" x14ac:dyDescent="0.25">
      <c r="B101" s="23"/>
    </row>
    <row r="102" spans="2:2" x14ac:dyDescent="0.25">
      <c r="B102" s="23"/>
    </row>
    <row r="103" spans="2:2" x14ac:dyDescent="0.25">
      <c r="B103" s="23"/>
    </row>
    <row r="104" spans="2:2" x14ac:dyDescent="0.25">
      <c r="B104" s="23"/>
    </row>
    <row r="105" spans="2:2" x14ac:dyDescent="0.25">
      <c r="B105" s="23"/>
    </row>
    <row r="106" spans="2:2" x14ac:dyDescent="0.25">
      <c r="B106" s="23"/>
    </row>
    <row r="107" spans="2:2" x14ac:dyDescent="0.25">
      <c r="B107" s="23"/>
    </row>
    <row r="108" spans="2:2" x14ac:dyDescent="0.25">
      <c r="B108" s="23"/>
    </row>
    <row r="109" spans="2:2" x14ac:dyDescent="0.25">
      <c r="B109" s="23"/>
    </row>
    <row r="110" spans="2:2" x14ac:dyDescent="0.25">
      <c r="B110" s="23"/>
    </row>
    <row r="111" spans="2:2" x14ac:dyDescent="0.25">
      <c r="B111" s="23"/>
    </row>
    <row r="112" spans="2:2" x14ac:dyDescent="0.25">
      <c r="B112" s="23"/>
    </row>
    <row r="113" spans="2:2" x14ac:dyDescent="0.25">
      <c r="B113" s="23"/>
    </row>
    <row r="114" spans="2:2" x14ac:dyDescent="0.25">
      <c r="B114" s="23"/>
    </row>
    <row r="115" spans="2:2" x14ac:dyDescent="0.25">
      <c r="B115" s="23"/>
    </row>
    <row r="116" spans="2:2" x14ac:dyDescent="0.25">
      <c r="B116" s="23"/>
    </row>
    <row r="117" spans="2:2" x14ac:dyDescent="0.25">
      <c r="B117" s="23"/>
    </row>
    <row r="118" spans="2:2" x14ac:dyDescent="0.25">
      <c r="B118" s="23"/>
    </row>
    <row r="119" spans="2:2" x14ac:dyDescent="0.25">
      <c r="B119" s="23"/>
    </row>
    <row r="120" spans="2:2" x14ac:dyDescent="0.25">
      <c r="B120" s="23"/>
    </row>
    <row r="121" spans="2:2" x14ac:dyDescent="0.25">
      <c r="B121" s="23"/>
    </row>
    <row r="122" spans="2:2" x14ac:dyDescent="0.25">
      <c r="B122" s="23"/>
    </row>
    <row r="123" spans="2:2" x14ac:dyDescent="0.25">
      <c r="B123" s="23"/>
    </row>
    <row r="124" spans="2:2" x14ac:dyDescent="0.25">
      <c r="B124" s="23"/>
    </row>
    <row r="125" spans="2:2" x14ac:dyDescent="0.25">
      <c r="B125" s="23"/>
    </row>
    <row r="126" spans="2:2" x14ac:dyDescent="0.25">
      <c r="B126" s="23"/>
    </row>
    <row r="127" spans="2:2" x14ac:dyDescent="0.25">
      <c r="B127" s="23"/>
    </row>
    <row r="128" spans="2:2" x14ac:dyDescent="0.25">
      <c r="B128" s="23"/>
    </row>
    <row r="129" spans="2:2" x14ac:dyDescent="0.25">
      <c r="B129" s="23"/>
    </row>
    <row r="130" spans="2:2" x14ac:dyDescent="0.25">
      <c r="B130" s="23"/>
    </row>
    <row r="131" spans="2:2" x14ac:dyDescent="0.25">
      <c r="B131" s="23"/>
    </row>
    <row r="132" spans="2:2" x14ac:dyDescent="0.25">
      <c r="B132" s="23"/>
    </row>
    <row r="133" spans="2:2" x14ac:dyDescent="0.25">
      <c r="B133" s="23"/>
    </row>
    <row r="134" spans="2:2" x14ac:dyDescent="0.25">
      <c r="B134" s="23"/>
    </row>
    <row r="135" spans="2:2" x14ac:dyDescent="0.25">
      <c r="B135" s="23"/>
    </row>
    <row r="136" spans="2:2" x14ac:dyDescent="0.25">
      <c r="B136" s="23"/>
    </row>
    <row r="137" spans="2:2" x14ac:dyDescent="0.25">
      <c r="B137" s="23"/>
    </row>
    <row r="138" spans="2:2" x14ac:dyDescent="0.25">
      <c r="B138" s="23"/>
    </row>
    <row r="139" spans="2:2" x14ac:dyDescent="0.25">
      <c r="B139" s="23"/>
    </row>
    <row r="140" spans="2:2" x14ac:dyDescent="0.25">
      <c r="B140" s="23"/>
    </row>
    <row r="141" spans="2:2" x14ac:dyDescent="0.25">
      <c r="B141" s="23"/>
    </row>
    <row r="142" spans="2:2" x14ac:dyDescent="0.25">
      <c r="B142" s="23"/>
    </row>
    <row r="143" spans="2:2" x14ac:dyDescent="0.25">
      <c r="B143" s="23"/>
    </row>
    <row r="144" spans="2:2" x14ac:dyDescent="0.25">
      <c r="B144" s="23"/>
    </row>
    <row r="145" spans="2:2" x14ac:dyDescent="0.25">
      <c r="B145" s="23"/>
    </row>
    <row r="146" spans="2:2" x14ac:dyDescent="0.25">
      <c r="B146" s="23"/>
    </row>
    <row r="147" spans="2:2" x14ac:dyDescent="0.25">
      <c r="B147" s="23"/>
    </row>
    <row r="148" spans="2:2" x14ac:dyDescent="0.25">
      <c r="B148" s="23"/>
    </row>
    <row r="149" spans="2:2" x14ac:dyDescent="0.25">
      <c r="B149" s="23"/>
    </row>
    <row r="150" spans="2:2" x14ac:dyDescent="0.25">
      <c r="B150" s="23"/>
    </row>
    <row r="151" spans="2:2" x14ac:dyDescent="0.25">
      <c r="B151" s="23"/>
    </row>
    <row r="152" spans="2:2" x14ac:dyDescent="0.25">
      <c r="B152" s="23"/>
    </row>
    <row r="153" spans="2:2" x14ac:dyDescent="0.25">
      <c r="B153" s="23"/>
    </row>
    <row r="154" spans="2:2" x14ac:dyDescent="0.25">
      <c r="B154" s="23"/>
    </row>
    <row r="155" spans="2:2" x14ac:dyDescent="0.25">
      <c r="B155" s="23"/>
    </row>
    <row r="156" spans="2:2" x14ac:dyDescent="0.25">
      <c r="B156" s="23"/>
    </row>
    <row r="157" spans="2:2" x14ac:dyDescent="0.25">
      <c r="B157" s="23"/>
    </row>
    <row r="158" spans="2:2" x14ac:dyDescent="0.25">
      <c r="B158" s="23"/>
    </row>
    <row r="159" spans="2:2" x14ac:dyDescent="0.25">
      <c r="B159" s="23"/>
    </row>
    <row r="160" spans="2:2" x14ac:dyDescent="0.25">
      <c r="B160" s="23"/>
    </row>
    <row r="161" spans="2:2" x14ac:dyDescent="0.25">
      <c r="B161" s="23"/>
    </row>
    <row r="162" spans="2:2" x14ac:dyDescent="0.25">
      <c r="B162" s="23"/>
    </row>
    <row r="163" spans="2:2" x14ac:dyDescent="0.25">
      <c r="B163" s="23"/>
    </row>
    <row r="164" spans="2:2" x14ac:dyDescent="0.25">
      <c r="B164" s="23"/>
    </row>
    <row r="165" spans="2:2" x14ac:dyDescent="0.25">
      <c r="B165" s="23"/>
    </row>
    <row r="166" spans="2:2" x14ac:dyDescent="0.25">
      <c r="B166" s="23"/>
    </row>
    <row r="167" spans="2:2" x14ac:dyDescent="0.25">
      <c r="B167" s="23"/>
    </row>
    <row r="168" spans="2:2" x14ac:dyDescent="0.25">
      <c r="B168" s="23"/>
    </row>
    <row r="169" spans="2:2" x14ac:dyDescent="0.25">
      <c r="B169" s="23"/>
    </row>
    <row r="170" spans="2:2" x14ac:dyDescent="0.25">
      <c r="B170" s="23"/>
    </row>
    <row r="171" spans="2:2" x14ac:dyDescent="0.25">
      <c r="B171" s="23"/>
    </row>
    <row r="172" spans="2:2" x14ac:dyDescent="0.25">
      <c r="B172" s="23"/>
    </row>
    <row r="173" spans="2:2" x14ac:dyDescent="0.25">
      <c r="B173" s="23"/>
    </row>
    <row r="174" spans="2:2" x14ac:dyDescent="0.25">
      <c r="B174" s="23"/>
    </row>
    <row r="175" spans="2:2" x14ac:dyDescent="0.25">
      <c r="B175" s="23"/>
    </row>
    <row r="176" spans="2:2" x14ac:dyDescent="0.25">
      <c r="B176" s="23"/>
    </row>
    <row r="177" spans="2:2" x14ac:dyDescent="0.25">
      <c r="B177" s="23"/>
    </row>
    <row r="178" spans="2:2" x14ac:dyDescent="0.25">
      <c r="B178" s="23"/>
    </row>
    <row r="179" spans="2:2" x14ac:dyDescent="0.25">
      <c r="B179" s="23"/>
    </row>
    <row r="180" spans="2:2" x14ac:dyDescent="0.25">
      <c r="B180" s="23"/>
    </row>
    <row r="181" spans="2:2" x14ac:dyDescent="0.25">
      <c r="B181" s="23"/>
    </row>
    <row r="182" spans="2:2" x14ac:dyDescent="0.25">
      <c r="B182" s="23"/>
    </row>
    <row r="183" spans="2:2" x14ac:dyDescent="0.25">
      <c r="B183" s="23"/>
    </row>
    <row r="184" spans="2:2" x14ac:dyDescent="0.25">
      <c r="B184" s="23"/>
    </row>
    <row r="185" spans="2:2" x14ac:dyDescent="0.25">
      <c r="B185" s="23"/>
    </row>
    <row r="186" spans="2:2" x14ac:dyDescent="0.25">
      <c r="B186" s="23"/>
    </row>
    <row r="187" spans="2:2" x14ac:dyDescent="0.25">
      <c r="B187" s="23"/>
    </row>
    <row r="188" spans="2:2" x14ac:dyDescent="0.25">
      <c r="B188" s="23"/>
    </row>
    <row r="189" spans="2:2" x14ac:dyDescent="0.25">
      <c r="B189" s="23"/>
    </row>
    <row r="190" spans="2:2" x14ac:dyDescent="0.25">
      <c r="B190" s="23"/>
    </row>
    <row r="191" spans="2:2" x14ac:dyDescent="0.25">
      <c r="B191" s="23"/>
    </row>
    <row r="192" spans="2:2" x14ac:dyDescent="0.25">
      <c r="B192" s="23"/>
    </row>
    <row r="193" spans="2:2" x14ac:dyDescent="0.25">
      <c r="B193" s="23"/>
    </row>
    <row r="194" spans="2:2" x14ac:dyDescent="0.25">
      <c r="B194" s="23"/>
    </row>
    <row r="195" spans="2:2" x14ac:dyDescent="0.25">
      <c r="B195" s="23"/>
    </row>
    <row r="196" spans="2:2" x14ac:dyDescent="0.25">
      <c r="B196" s="23"/>
    </row>
    <row r="197" spans="2:2" x14ac:dyDescent="0.25">
      <c r="B197" s="23"/>
    </row>
    <row r="198" spans="2:2" x14ac:dyDescent="0.25">
      <c r="B198" s="23"/>
    </row>
    <row r="199" spans="2:2" x14ac:dyDescent="0.25">
      <c r="B199" s="23"/>
    </row>
    <row r="200" spans="2:2" x14ac:dyDescent="0.25">
      <c r="B200" s="23"/>
    </row>
    <row r="201" spans="2:2" x14ac:dyDescent="0.25">
      <c r="B201" s="23"/>
    </row>
    <row r="202" spans="2:2" x14ac:dyDescent="0.25">
      <c r="B202" s="23"/>
    </row>
    <row r="203" spans="2:2" x14ac:dyDescent="0.25">
      <c r="B203" s="23"/>
    </row>
    <row r="204" spans="2:2" x14ac:dyDescent="0.25">
      <c r="B204" s="23"/>
    </row>
    <row r="205" spans="2:2" x14ac:dyDescent="0.25">
      <c r="B205" s="23"/>
    </row>
    <row r="206" spans="2:2" x14ac:dyDescent="0.25">
      <c r="B206" s="23"/>
    </row>
    <row r="207" spans="2:2" x14ac:dyDescent="0.25">
      <c r="B207" s="23"/>
    </row>
    <row r="208" spans="2:2" x14ac:dyDescent="0.25">
      <c r="B208" s="23"/>
    </row>
    <row r="209" spans="2:2" x14ac:dyDescent="0.25">
      <c r="B209" s="23"/>
    </row>
    <row r="210" spans="2:2" x14ac:dyDescent="0.25">
      <c r="B210" s="23"/>
    </row>
    <row r="211" spans="2:2" x14ac:dyDescent="0.25">
      <c r="B211" s="23"/>
    </row>
    <row r="212" spans="2:2" x14ac:dyDescent="0.25">
      <c r="B212" s="23"/>
    </row>
    <row r="213" spans="2:2" x14ac:dyDescent="0.25">
      <c r="B213" s="23"/>
    </row>
    <row r="214" spans="2:2" x14ac:dyDescent="0.25">
      <c r="B214" s="23"/>
    </row>
    <row r="215" spans="2:2" x14ac:dyDescent="0.25">
      <c r="B215" s="23"/>
    </row>
    <row r="216" spans="2:2" x14ac:dyDescent="0.25">
      <c r="B216" s="23"/>
    </row>
    <row r="217" spans="2:2" x14ac:dyDescent="0.25">
      <c r="B217" s="23"/>
    </row>
    <row r="218" spans="2:2" x14ac:dyDescent="0.25">
      <c r="B218" s="23"/>
    </row>
    <row r="219" spans="2:2" x14ac:dyDescent="0.25">
      <c r="B219" s="23"/>
    </row>
    <row r="220" spans="2:2" x14ac:dyDescent="0.25">
      <c r="B220" s="23"/>
    </row>
    <row r="221" spans="2:2" x14ac:dyDescent="0.25">
      <c r="B221" s="23"/>
    </row>
    <row r="222" spans="2:2" x14ac:dyDescent="0.25">
      <c r="B222" s="23"/>
    </row>
    <row r="223" spans="2:2" x14ac:dyDescent="0.25">
      <c r="B223" s="23"/>
    </row>
    <row r="224" spans="2:2" x14ac:dyDescent="0.25">
      <c r="B224" s="23"/>
    </row>
    <row r="225" spans="2:2" x14ac:dyDescent="0.25">
      <c r="B225" s="23"/>
    </row>
    <row r="226" spans="2:2" x14ac:dyDescent="0.25">
      <c r="B226" s="23"/>
    </row>
    <row r="227" spans="2:2" x14ac:dyDescent="0.25">
      <c r="B227" s="23"/>
    </row>
    <row r="228" spans="2:2" x14ac:dyDescent="0.25">
      <c r="B228" s="23"/>
    </row>
    <row r="229" spans="2:2" x14ac:dyDescent="0.25">
      <c r="B229" s="23"/>
    </row>
    <row r="230" spans="2:2" x14ac:dyDescent="0.25">
      <c r="B230" s="23"/>
    </row>
    <row r="231" spans="2:2" x14ac:dyDescent="0.25">
      <c r="B231" s="23"/>
    </row>
    <row r="232" spans="2:2" x14ac:dyDescent="0.25">
      <c r="B232" s="23"/>
    </row>
    <row r="233" spans="2:2" x14ac:dyDescent="0.25">
      <c r="B233" s="23"/>
    </row>
    <row r="234" spans="2:2" x14ac:dyDescent="0.25">
      <c r="B234" s="23"/>
    </row>
    <row r="235" spans="2:2" x14ac:dyDescent="0.25">
      <c r="B235" s="23"/>
    </row>
    <row r="236" spans="2:2" x14ac:dyDescent="0.25">
      <c r="B236" s="23"/>
    </row>
    <row r="237" spans="2:2" x14ac:dyDescent="0.25">
      <c r="B237" s="23"/>
    </row>
    <row r="238" spans="2:2" x14ac:dyDescent="0.25">
      <c r="B238" s="23"/>
    </row>
    <row r="239" spans="2:2" x14ac:dyDescent="0.25">
      <c r="B239" s="23"/>
    </row>
    <row r="240" spans="2:2" x14ac:dyDescent="0.25">
      <c r="B240" s="23"/>
    </row>
    <row r="241" spans="2:2" x14ac:dyDescent="0.25">
      <c r="B241" s="23"/>
    </row>
    <row r="242" spans="2:2" x14ac:dyDescent="0.25">
      <c r="B242" s="23"/>
    </row>
    <row r="243" spans="2:2" x14ac:dyDescent="0.25">
      <c r="B243" s="23"/>
    </row>
    <row r="244" spans="2:2" x14ac:dyDescent="0.25">
      <c r="B244" s="23"/>
    </row>
    <row r="245" spans="2:2" x14ac:dyDescent="0.25">
      <c r="B245" s="23"/>
    </row>
    <row r="246" spans="2:2" x14ac:dyDescent="0.25">
      <c r="B246" s="23"/>
    </row>
    <row r="247" spans="2:2" x14ac:dyDescent="0.25">
      <c r="B247" s="23"/>
    </row>
    <row r="248" spans="2:2" x14ac:dyDescent="0.25">
      <c r="B248" s="23"/>
    </row>
    <row r="249" spans="2:2" x14ac:dyDescent="0.25">
      <c r="B249" s="23"/>
    </row>
    <row r="250" spans="2:2" x14ac:dyDescent="0.25">
      <c r="B250" s="23"/>
    </row>
    <row r="251" spans="2:2" x14ac:dyDescent="0.25">
      <c r="B251" s="23"/>
    </row>
    <row r="252" spans="2:2" x14ac:dyDescent="0.25">
      <c r="B252" s="23"/>
    </row>
    <row r="253" spans="2:2" x14ac:dyDescent="0.25">
      <c r="B253" s="23"/>
    </row>
    <row r="254" spans="2:2" x14ac:dyDescent="0.25">
      <c r="B254" s="23"/>
    </row>
    <row r="255" spans="2:2" x14ac:dyDescent="0.25">
      <c r="B255" s="23"/>
    </row>
    <row r="256" spans="2:2" x14ac:dyDescent="0.25">
      <c r="B256" s="23"/>
    </row>
    <row r="257" spans="2:2" x14ac:dyDescent="0.25">
      <c r="B257" s="23"/>
    </row>
    <row r="258" spans="2:2" x14ac:dyDescent="0.25">
      <c r="B258" s="23"/>
    </row>
    <row r="259" spans="2:2" x14ac:dyDescent="0.25">
      <c r="B259" s="23"/>
    </row>
    <row r="260" spans="2:2" x14ac:dyDescent="0.25">
      <c r="B260" s="23"/>
    </row>
    <row r="261" spans="2:2" x14ac:dyDescent="0.25">
      <c r="B261" s="23"/>
    </row>
    <row r="262" spans="2:2" x14ac:dyDescent="0.25">
      <c r="B262" s="23"/>
    </row>
    <row r="263" spans="2:2" x14ac:dyDescent="0.25">
      <c r="B263" s="23"/>
    </row>
    <row r="264" spans="2:2" x14ac:dyDescent="0.25">
      <c r="B264" s="23"/>
    </row>
    <row r="265" spans="2:2" x14ac:dyDescent="0.25">
      <c r="B265" s="23"/>
    </row>
    <row r="266" spans="2:2" x14ac:dyDescent="0.25">
      <c r="B266" s="23"/>
    </row>
    <row r="267" spans="2:2" x14ac:dyDescent="0.25">
      <c r="B267" s="23"/>
    </row>
    <row r="268" spans="2:2" x14ac:dyDescent="0.25">
      <c r="B268" s="23"/>
    </row>
    <row r="269" spans="2:2" x14ac:dyDescent="0.25">
      <c r="B269" s="23"/>
    </row>
    <row r="270" spans="2:2" x14ac:dyDescent="0.25">
      <c r="B270" s="23"/>
    </row>
    <row r="271" spans="2:2" x14ac:dyDescent="0.25">
      <c r="B271" s="23"/>
    </row>
    <row r="272" spans="2:2" x14ac:dyDescent="0.25">
      <c r="B272" s="23"/>
    </row>
    <row r="273" spans="2:2" x14ac:dyDescent="0.25">
      <c r="B273" s="23"/>
    </row>
    <row r="274" spans="2:2" x14ac:dyDescent="0.25">
      <c r="B274" s="23"/>
    </row>
    <row r="275" spans="2:2" x14ac:dyDescent="0.25">
      <c r="B275" s="23"/>
    </row>
    <row r="276" spans="2:2" x14ac:dyDescent="0.25">
      <c r="B276" s="23"/>
    </row>
    <row r="277" spans="2:2" x14ac:dyDescent="0.25">
      <c r="B277" s="23"/>
    </row>
    <row r="278" spans="2:2" x14ac:dyDescent="0.25">
      <c r="B278" s="23"/>
    </row>
    <row r="279" spans="2:2" x14ac:dyDescent="0.25">
      <c r="B279" s="23"/>
    </row>
    <row r="280" spans="2:2" x14ac:dyDescent="0.25">
      <c r="B280" s="23"/>
    </row>
    <row r="281" spans="2:2" x14ac:dyDescent="0.25">
      <c r="B281" s="23"/>
    </row>
    <row r="282" spans="2:2" x14ac:dyDescent="0.25">
      <c r="B282" s="23"/>
    </row>
    <row r="283" spans="2:2" x14ac:dyDescent="0.25">
      <c r="B283" s="23"/>
    </row>
    <row r="284" spans="2:2" x14ac:dyDescent="0.25">
      <c r="B284" s="23"/>
    </row>
    <row r="285" spans="2:2" x14ac:dyDescent="0.25">
      <c r="B285" s="23"/>
    </row>
    <row r="286" spans="2:2" x14ac:dyDescent="0.25">
      <c r="B286" s="23"/>
    </row>
    <row r="287" spans="2:2" x14ac:dyDescent="0.25">
      <c r="B287" s="23"/>
    </row>
    <row r="288" spans="2:2" x14ac:dyDescent="0.25">
      <c r="B288" s="23"/>
    </row>
    <row r="289" spans="2:2" x14ac:dyDescent="0.25">
      <c r="B289" s="23"/>
    </row>
    <row r="290" spans="2:2" x14ac:dyDescent="0.25">
      <c r="B290" s="23"/>
    </row>
    <row r="291" spans="2:2" x14ac:dyDescent="0.25">
      <c r="B291" s="23"/>
    </row>
    <row r="292" spans="2:2" x14ac:dyDescent="0.25">
      <c r="B292" s="23"/>
    </row>
    <row r="293" spans="2:2" x14ac:dyDescent="0.25">
      <c r="B293" s="23"/>
    </row>
    <row r="294" spans="2:2" x14ac:dyDescent="0.25">
      <c r="B294" s="23"/>
    </row>
    <row r="295" spans="2:2" x14ac:dyDescent="0.25">
      <c r="B295" s="23"/>
    </row>
    <row r="296" spans="2:2" x14ac:dyDescent="0.25">
      <c r="B296" s="23"/>
    </row>
    <row r="297" spans="2:2" x14ac:dyDescent="0.25">
      <c r="B297" s="23"/>
    </row>
    <row r="298" spans="2:2" x14ac:dyDescent="0.25">
      <c r="B298" s="23"/>
    </row>
    <row r="299" spans="2:2" x14ac:dyDescent="0.25">
      <c r="B299" s="23"/>
    </row>
    <row r="300" spans="2:2" x14ac:dyDescent="0.25">
      <c r="B300" s="23"/>
    </row>
    <row r="301" spans="2:2" x14ac:dyDescent="0.25">
      <c r="B301" s="23"/>
    </row>
    <row r="302" spans="2:2" x14ac:dyDescent="0.25">
      <c r="B302" s="23"/>
    </row>
    <row r="303" spans="2:2" x14ac:dyDescent="0.25">
      <c r="B303" s="23"/>
    </row>
    <row r="304" spans="2:2" x14ac:dyDescent="0.25">
      <c r="B304" s="23"/>
    </row>
    <row r="305" spans="2:2" x14ac:dyDescent="0.25">
      <c r="B305" s="23"/>
    </row>
    <row r="306" spans="2:2" x14ac:dyDescent="0.25">
      <c r="B306" s="23"/>
    </row>
    <row r="307" spans="2:2" x14ac:dyDescent="0.25">
      <c r="B307" s="23"/>
    </row>
    <row r="308" spans="2:2" x14ac:dyDescent="0.25">
      <c r="B308" s="23"/>
    </row>
    <row r="309" spans="2:2" x14ac:dyDescent="0.25">
      <c r="B309" s="23"/>
    </row>
    <row r="310" spans="2:2" x14ac:dyDescent="0.25">
      <c r="B310" s="23"/>
    </row>
    <row r="311" spans="2:2" x14ac:dyDescent="0.25">
      <c r="B311" s="23"/>
    </row>
    <row r="312" spans="2:2" x14ac:dyDescent="0.25">
      <c r="B312" s="23"/>
    </row>
    <row r="313" spans="2:2" x14ac:dyDescent="0.25">
      <c r="B313" s="23"/>
    </row>
    <row r="314" spans="2:2" x14ac:dyDescent="0.25">
      <c r="B314" s="23"/>
    </row>
    <row r="315" spans="2:2" x14ac:dyDescent="0.25">
      <c r="B315" s="23"/>
    </row>
    <row r="316" spans="2:2" x14ac:dyDescent="0.25">
      <c r="B316" s="23"/>
    </row>
    <row r="317" spans="2:2" x14ac:dyDescent="0.25">
      <c r="B317" s="23"/>
    </row>
    <row r="318" spans="2:2" x14ac:dyDescent="0.25">
      <c r="B318" s="23"/>
    </row>
    <row r="319" spans="2:2" x14ac:dyDescent="0.25">
      <c r="B319" s="23"/>
    </row>
    <row r="320" spans="2:2" x14ac:dyDescent="0.25">
      <c r="B320" s="23"/>
    </row>
    <row r="321" spans="2:2" x14ac:dyDescent="0.25">
      <c r="B321" s="23"/>
    </row>
    <row r="322" spans="2:2" x14ac:dyDescent="0.25">
      <c r="B322" s="23"/>
    </row>
    <row r="323" spans="2:2" x14ac:dyDescent="0.25">
      <c r="B323" s="23"/>
    </row>
    <row r="324" spans="2:2" x14ac:dyDescent="0.25">
      <c r="B324" s="23"/>
    </row>
    <row r="325" spans="2:2" x14ac:dyDescent="0.25">
      <c r="B325" s="23"/>
    </row>
    <row r="326" spans="2:2" x14ac:dyDescent="0.25">
      <c r="B326" s="23"/>
    </row>
    <row r="327" spans="2:2" x14ac:dyDescent="0.25">
      <c r="B327" s="23"/>
    </row>
    <row r="328" spans="2:2" x14ac:dyDescent="0.25">
      <c r="B328" s="23"/>
    </row>
    <row r="329" spans="2:2" x14ac:dyDescent="0.25">
      <c r="B329" s="23"/>
    </row>
    <row r="330" spans="2:2" x14ac:dyDescent="0.25">
      <c r="B330" s="23"/>
    </row>
    <row r="331" spans="2:2" x14ac:dyDescent="0.25">
      <c r="B331" s="23"/>
    </row>
    <row r="332" spans="2:2" x14ac:dyDescent="0.25">
      <c r="B332" s="23"/>
    </row>
    <row r="333" spans="2:2" x14ac:dyDescent="0.25">
      <c r="B333" s="23"/>
    </row>
    <row r="334" spans="2:2" x14ac:dyDescent="0.25">
      <c r="B334" s="23"/>
    </row>
    <row r="335" spans="2:2" x14ac:dyDescent="0.25">
      <c r="B335" s="23"/>
    </row>
    <row r="336" spans="2:2" x14ac:dyDescent="0.25">
      <c r="B336" s="23"/>
    </row>
    <row r="337" spans="2:2" x14ac:dyDescent="0.25">
      <c r="B337" s="23"/>
    </row>
    <row r="338" spans="2:2" x14ac:dyDescent="0.25">
      <c r="B338" s="23"/>
    </row>
    <row r="339" spans="2:2" x14ac:dyDescent="0.25">
      <c r="B339" s="23"/>
    </row>
    <row r="340" spans="2:2" x14ac:dyDescent="0.25">
      <c r="B340" s="23"/>
    </row>
    <row r="341" spans="2:2" x14ac:dyDescent="0.25">
      <c r="B341" s="23"/>
    </row>
    <row r="342" spans="2:2" x14ac:dyDescent="0.25">
      <c r="B342" s="23"/>
    </row>
    <row r="343" spans="2:2" x14ac:dyDescent="0.25">
      <c r="B343" s="23"/>
    </row>
    <row r="344" spans="2:2" x14ac:dyDescent="0.25">
      <c r="B344" s="23"/>
    </row>
    <row r="345" spans="2:2" x14ac:dyDescent="0.25">
      <c r="B345" s="23"/>
    </row>
    <row r="346" spans="2:2" x14ac:dyDescent="0.25">
      <c r="B346" s="23"/>
    </row>
    <row r="347" spans="2:2" x14ac:dyDescent="0.25">
      <c r="B347" s="23"/>
    </row>
    <row r="348" spans="2:2" x14ac:dyDescent="0.25">
      <c r="B348" s="23"/>
    </row>
    <row r="349" spans="2:2" x14ac:dyDescent="0.25">
      <c r="B349" s="23"/>
    </row>
    <row r="350" spans="2:2" x14ac:dyDescent="0.25">
      <c r="B350" s="23"/>
    </row>
    <row r="351" spans="2:2" x14ac:dyDescent="0.25">
      <c r="B351" s="23"/>
    </row>
    <row r="352" spans="2:2" x14ac:dyDescent="0.25">
      <c r="B352" s="23"/>
    </row>
    <row r="353" spans="2:2" x14ac:dyDescent="0.25">
      <c r="B353" s="23"/>
    </row>
    <row r="354" spans="2:2" x14ac:dyDescent="0.25">
      <c r="B354" s="23"/>
    </row>
    <row r="355" spans="2:2" x14ac:dyDescent="0.25">
      <c r="B355" s="23"/>
    </row>
    <row r="356" spans="2:2" x14ac:dyDescent="0.25">
      <c r="B356" s="23"/>
    </row>
    <row r="357" spans="2:2" x14ac:dyDescent="0.25">
      <c r="B357" s="23"/>
    </row>
    <row r="358" spans="2:2" x14ac:dyDescent="0.25">
      <c r="B358" s="23"/>
    </row>
    <row r="359" spans="2:2" x14ac:dyDescent="0.25">
      <c r="B359" s="23"/>
    </row>
    <row r="360" spans="2:2" x14ac:dyDescent="0.25">
      <c r="B360" s="23"/>
    </row>
    <row r="361" spans="2:2" x14ac:dyDescent="0.25">
      <c r="B361" s="23"/>
    </row>
    <row r="362" spans="2:2" x14ac:dyDescent="0.25">
      <c r="B362" s="23"/>
    </row>
    <row r="363" spans="2:2" x14ac:dyDescent="0.25">
      <c r="B363" s="23"/>
    </row>
    <row r="364" spans="2:2" x14ac:dyDescent="0.25">
      <c r="B364" s="23"/>
    </row>
    <row r="365" spans="2:2" x14ac:dyDescent="0.25">
      <c r="B365" s="23"/>
    </row>
    <row r="366" spans="2:2" x14ac:dyDescent="0.25">
      <c r="B366" s="23"/>
    </row>
    <row r="367" spans="2:2" x14ac:dyDescent="0.25">
      <c r="B367" s="23"/>
    </row>
    <row r="368" spans="2:2" x14ac:dyDescent="0.25">
      <c r="B368" s="23"/>
    </row>
    <row r="369" spans="2:2" x14ac:dyDescent="0.25">
      <c r="B369" s="23"/>
    </row>
    <row r="370" spans="2:2" x14ac:dyDescent="0.25">
      <c r="B370" s="23"/>
    </row>
    <row r="371" spans="2:2" x14ac:dyDescent="0.25">
      <c r="B371" s="23"/>
    </row>
    <row r="372" spans="2:2" x14ac:dyDescent="0.25">
      <c r="B372" s="23"/>
    </row>
    <row r="373" spans="2:2" x14ac:dyDescent="0.25">
      <c r="B373" s="23"/>
    </row>
    <row r="374" spans="2:2" x14ac:dyDescent="0.25">
      <c r="B374" s="23"/>
    </row>
    <row r="375" spans="2:2" x14ac:dyDescent="0.25">
      <c r="B375" s="23"/>
    </row>
    <row r="376" spans="2:2" x14ac:dyDescent="0.25">
      <c r="B376" s="23"/>
    </row>
    <row r="377" spans="2:2" x14ac:dyDescent="0.25">
      <c r="B377" s="23"/>
    </row>
    <row r="378" spans="2:2" x14ac:dyDescent="0.25">
      <c r="B378" s="23"/>
    </row>
    <row r="379" spans="2:2" x14ac:dyDescent="0.25">
      <c r="B379" s="23"/>
    </row>
    <row r="380" spans="2:2" x14ac:dyDescent="0.25">
      <c r="B380" s="23"/>
    </row>
    <row r="381" spans="2:2" x14ac:dyDescent="0.25">
      <c r="B381" s="23"/>
    </row>
    <row r="382" spans="2:2" x14ac:dyDescent="0.25">
      <c r="B382" s="23"/>
    </row>
    <row r="383" spans="2:2" x14ac:dyDescent="0.25">
      <c r="B383" s="23"/>
    </row>
    <row r="384" spans="2:2" x14ac:dyDescent="0.25">
      <c r="B384" s="23"/>
    </row>
    <row r="385" spans="2:2" x14ac:dyDescent="0.25">
      <c r="B385" s="23"/>
    </row>
    <row r="386" spans="2:2" x14ac:dyDescent="0.25">
      <c r="B386" s="23"/>
    </row>
    <row r="387" spans="2:2" x14ac:dyDescent="0.25">
      <c r="B387" s="23"/>
    </row>
    <row r="388" spans="2:2" x14ac:dyDescent="0.25">
      <c r="B388" s="23"/>
    </row>
    <row r="389" spans="2:2" x14ac:dyDescent="0.25">
      <c r="B389" s="23"/>
    </row>
    <row r="390" spans="2:2" x14ac:dyDescent="0.25">
      <c r="B390" s="23"/>
    </row>
    <row r="391" spans="2:2" x14ac:dyDescent="0.25">
      <c r="B391" s="23"/>
    </row>
    <row r="392" spans="2:2" x14ac:dyDescent="0.25">
      <c r="B392" s="23"/>
    </row>
    <row r="393" spans="2:2" x14ac:dyDescent="0.25">
      <c r="B393" s="23"/>
    </row>
    <row r="394" spans="2:2" x14ac:dyDescent="0.25">
      <c r="B394" s="23"/>
    </row>
    <row r="395" spans="2:2" x14ac:dyDescent="0.25">
      <c r="B395" s="23"/>
    </row>
    <row r="396" spans="2:2" x14ac:dyDescent="0.25">
      <c r="B396" s="23"/>
    </row>
    <row r="397" spans="2:2" x14ac:dyDescent="0.25">
      <c r="B397" s="23"/>
    </row>
    <row r="398" spans="2:2" x14ac:dyDescent="0.25">
      <c r="B398" s="23"/>
    </row>
    <row r="399" spans="2:2" x14ac:dyDescent="0.25">
      <c r="B399" s="23"/>
    </row>
    <row r="400" spans="2:2" x14ac:dyDescent="0.25">
      <c r="B400" s="23"/>
    </row>
    <row r="401" spans="2:2" x14ac:dyDescent="0.25">
      <c r="B401" s="23"/>
    </row>
    <row r="402" spans="2:2" x14ac:dyDescent="0.25">
      <c r="B402" s="23"/>
    </row>
    <row r="403" spans="2:2" x14ac:dyDescent="0.25">
      <c r="B403" s="23"/>
    </row>
    <row r="404" spans="2:2" x14ac:dyDescent="0.25">
      <c r="B404" s="23"/>
    </row>
    <row r="405" spans="2:2" x14ac:dyDescent="0.25">
      <c r="B405" s="23"/>
    </row>
    <row r="406" spans="2:2" x14ac:dyDescent="0.25">
      <c r="B406" s="23"/>
    </row>
    <row r="407" spans="2:2" x14ac:dyDescent="0.25">
      <c r="B407" s="23"/>
    </row>
    <row r="408" spans="2:2" x14ac:dyDescent="0.25">
      <c r="B408" s="23"/>
    </row>
    <row r="409" spans="2:2" x14ac:dyDescent="0.25">
      <c r="B409" s="23"/>
    </row>
    <row r="410" spans="2:2" x14ac:dyDescent="0.25">
      <c r="B410" s="23"/>
    </row>
    <row r="411" spans="2:2" x14ac:dyDescent="0.25">
      <c r="B411" s="23"/>
    </row>
    <row r="412" spans="2:2" x14ac:dyDescent="0.25">
      <c r="B412" s="23"/>
    </row>
    <row r="413" spans="2:2" x14ac:dyDescent="0.25">
      <c r="B413" s="23"/>
    </row>
    <row r="414" spans="2:2" x14ac:dyDescent="0.25">
      <c r="B414" s="23"/>
    </row>
    <row r="415" spans="2:2" x14ac:dyDescent="0.25">
      <c r="B415" s="23"/>
    </row>
    <row r="416" spans="2:2" x14ac:dyDescent="0.25">
      <c r="B416" s="23"/>
    </row>
    <row r="417" spans="2:2" x14ac:dyDescent="0.25">
      <c r="B417" s="23"/>
    </row>
    <row r="418" spans="2:2" x14ac:dyDescent="0.25">
      <c r="B418" s="23"/>
    </row>
    <row r="419" spans="2:2" x14ac:dyDescent="0.25">
      <c r="B419" s="23"/>
    </row>
    <row r="420" spans="2:2" x14ac:dyDescent="0.25">
      <c r="B420" s="23"/>
    </row>
    <row r="421" spans="2:2" x14ac:dyDescent="0.25">
      <c r="B421" s="23"/>
    </row>
    <row r="422" spans="2:2" x14ac:dyDescent="0.25">
      <c r="B422" s="23"/>
    </row>
    <row r="423" spans="2:2" x14ac:dyDescent="0.25">
      <c r="B423" s="23"/>
    </row>
    <row r="424" spans="2:2" x14ac:dyDescent="0.25">
      <c r="B424" s="23"/>
    </row>
    <row r="425" spans="2:2" x14ac:dyDescent="0.25">
      <c r="B425" s="23"/>
    </row>
    <row r="426" spans="2:2" x14ac:dyDescent="0.25">
      <c r="B426" s="23"/>
    </row>
    <row r="427" spans="2:2" x14ac:dyDescent="0.25">
      <c r="B427" s="23"/>
    </row>
    <row r="428" spans="2:2" x14ac:dyDescent="0.25">
      <c r="B428" s="23"/>
    </row>
    <row r="429" spans="2:2" x14ac:dyDescent="0.25">
      <c r="B429" s="23"/>
    </row>
    <row r="430" spans="2:2" x14ac:dyDescent="0.25">
      <c r="B430" s="23"/>
    </row>
    <row r="431" spans="2:2" x14ac:dyDescent="0.25">
      <c r="B431" s="23"/>
    </row>
    <row r="432" spans="2:2" x14ac:dyDescent="0.25">
      <c r="B432" s="23"/>
    </row>
    <row r="433" spans="2:2" x14ac:dyDescent="0.25">
      <c r="B433" s="23"/>
    </row>
    <row r="434" spans="2:2" x14ac:dyDescent="0.25">
      <c r="B434" s="23"/>
    </row>
    <row r="435" spans="2:2" x14ac:dyDescent="0.25">
      <c r="B435" s="23"/>
    </row>
    <row r="436" spans="2:2" x14ac:dyDescent="0.25">
      <c r="B436" s="23"/>
    </row>
    <row r="437" spans="2:2" x14ac:dyDescent="0.25">
      <c r="B437" s="23"/>
    </row>
    <row r="438" spans="2:2" x14ac:dyDescent="0.25">
      <c r="B438" s="23"/>
    </row>
    <row r="439" spans="2:2" x14ac:dyDescent="0.25">
      <c r="B439" s="23"/>
    </row>
    <row r="440" spans="2:2" x14ac:dyDescent="0.25">
      <c r="B440" s="23"/>
    </row>
    <row r="441" spans="2:2" x14ac:dyDescent="0.25">
      <c r="B441" s="23"/>
    </row>
    <row r="442" spans="2:2" x14ac:dyDescent="0.25">
      <c r="B442" s="23"/>
    </row>
    <row r="443" spans="2:2" x14ac:dyDescent="0.25">
      <c r="B443" s="23"/>
    </row>
    <row r="444" spans="2:2" x14ac:dyDescent="0.25">
      <c r="B444" s="23"/>
    </row>
    <row r="445" spans="2:2" x14ac:dyDescent="0.25">
      <c r="B445" s="23"/>
    </row>
    <row r="446" spans="2:2" x14ac:dyDescent="0.25">
      <c r="B446" s="23"/>
    </row>
    <row r="447" spans="2:2" x14ac:dyDescent="0.25">
      <c r="B447" s="23"/>
    </row>
    <row r="448" spans="2:2" x14ac:dyDescent="0.25">
      <c r="B448" s="23"/>
    </row>
    <row r="449" spans="2:2" x14ac:dyDescent="0.25">
      <c r="B449" s="23"/>
    </row>
    <row r="450" spans="2:2" x14ac:dyDescent="0.25">
      <c r="B450" s="23"/>
    </row>
    <row r="451" spans="2:2" x14ac:dyDescent="0.25">
      <c r="B451" s="23"/>
    </row>
    <row r="452" spans="2:2" x14ac:dyDescent="0.25">
      <c r="B452" s="23"/>
    </row>
    <row r="453" spans="2:2" x14ac:dyDescent="0.25">
      <c r="B453" s="23"/>
    </row>
    <row r="454" spans="2:2" x14ac:dyDescent="0.25">
      <c r="B454" s="23"/>
    </row>
    <row r="455" spans="2:2" x14ac:dyDescent="0.25">
      <c r="B455" s="23"/>
    </row>
    <row r="456" spans="2:2" x14ac:dyDescent="0.25">
      <c r="B456" s="23"/>
    </row>
    <row r="457" spans="2:2" x14ac:dyDescent="0.25">
      <c r="B457" s="23"/>
    </row>
    <row r="458" spans="2:2" x14ac:dyDescent="0.25">
      <c r="B458" s="23"/>
    </row>
    <row r="459" spans="2:2" x14ac:dyDescent="0.25">
      <c r="B459" s="23"/>
    </row>
    <row r="460" spans="2:2" x14ac:dyDescent="0.25">
      <c r="B460" s="23"/>
    </row>
    <row r="461" spans="2:2" x14ac:dyDescent="0.25">
      <c r="B461" s="23"/>
    </row>
    <row r="462" spans="2:2" x14ac:dyDescent="0.25">
      <c r="B462" s="23"/>
    </row>
    <row r="463" spans="2:2" x14ac:dyDescent="0.25">
      <c r="B463" s="23"/>
    </row>
    <row r="464" spans="2:2" x14ac:dyDescent="0.25">
      <c r="B464" s="23"/>
    </row>
    <row r="465" spans="2:2" x14ac:dyDescent="0.25">
      <c r="B465" s="23"/>
    </row>
    <row r="466" spans="2:2" x14ac:dyDescent="0.25">
      <c r="B466" s="23"/>
    </row>
    <row r="467" spans="2:2" x14ac:dyDescent="0.25">
      <c r="B467" s="23"/>
    </row>
    <row r="468" spans="2:2" x14ac:dyDescent="0.25">
      <c r="B468" s="23"/>
    </row>
    <row r="469" spans="2:2" x14ac:dyDescent="0.25">
      <c r="B469" s="23"/>
    </row>
    <row r="470" spans="2:2" x14ac:dyDescent="0.25">
      <c r="B470" s="23"/>
    </row>
    <row r="471" spans="2:2" x14ac:dyDescent="0.25">
      <c r="B471" s="23"/>
    </row>
    <row r="472" spans="2:2" x14ac:dyDescent="0.25">
      <c r="B472" s="23"/>
    </row>
    <row r="473" spans="2:2" x14ac:dyDescent="0.25">
      <c r="B473" s="23"/>
    </row>
    <row r="474" spans="2:2" x14ac:dyDescent="0.25">
      <c r="B474" s="23"/>
    </row>
    <row r="475" spans="2:2" x14ac:dyDescent="0.25">
      <c r="B475" s="23"/>
    </row>
    <row r="476" spans="2:2" x14ac:dyDescent="0.25">
      <c r="B476" s="23"/>
    </row>
    <row r="477" spans="2:2" x14ac:dyDescent="0.25">
      <c r="B477" s="23"/>
    </row>
    <row r="478" spans="2:2" x14ac:dyDescent="0.25">
      <c r="B478" s="23"/>
    </row>
    <row r="479" spans="2:2" x14ac:dyDescent="0.25">
      <c r="B479" s="23"/>
    </row>
    <row r="480" spans="2:2" x14ac:dyDescent="0.25">
      <c r="B480" s="23"/>
    </row>
    <row r="481" spans="2:2" x14ac:dyDescent="0.25">
      <c r="B481" s="23"/>
    </row>
    <row r="482" spans="2:2" x14ac:dyDescent="0.25">
      <c r="B482" s="23"/>
    </row>
    <row r="483" spans="2:2" x14ac:dyDescent="0.25">
      <c r="B483" s="23"/>
    </row>
    <row r="484" spans="2:2" x14ac:dyDescent="0.25">
      <c r="B484" s="23"/>
    </row>
    <row r="485" spans="2:2" x14ac:dyDescent="0.25">
      <c r="B485" s="23"/>
    </row>
    <row r="486" spans="2:2" x14ac:dyDescent="0.25">
      <c r="B486" s="23"/>
    </row>
    <row r="487" spans="2:2" x14ac:dyDescent="0.25">
      <c r="B487" s="23"/>
    </row>
    <row r="488" spans="2:2" x14ac:dyDescent="0.25">
      <c r="B488" s="23"/>
    </row>
    <row r="489" spans="2:2" x14ac:dyDescent="0.25">
      <c r="B489" s="23"/>
    </row>
    <row r="490" spans="2:2" x14ac:dyDescent="0.25">
      <c r="B490" s="23"/>
    </row>
    <row r="491" spans="2:2" x14ac:dyDescent="0.25">
      <c r="B491" s="23"/>
    </row>
    <row r="492" spans="2:2" x14ac:dyDescent="0.25">
      <c r="B492" s="23"/>
    </row>
    <row r="493" spans="2:2" x14ac:dyDescent="0.25">
      <c r="B493" s="23"/>
    </row>
    <row r="494" spans="2:2" x14ac:dyDescent="0.25">
      <c r="B494" s="23"/>
    </row>
    <row r="495" spans="2:2" x14ac:dyDescent="0.25">
      <c r="B495" s="23"/>
    </row>
    <row r="496" spans="2:2" x14ac:dyDescent="0.25">
      <c r="B496" s="23"/>
    </row>
    <row r="497" spans="2:2" x14ac:dyDescent="0.25">
      <c r="B497" s="23"/>
    </row>
    <row r="498" spans="2:2" x14ac:dyDescent="0.25">
      <c r="B498" s="23"/>
    </row>
    <row r="499" spans="2:2" x14ac:dyDescent="0.25">
      <c r="B499" s="23"/>
    </row>
    <row r="500" spans="2:2" x14ac:dyDescent="0.25">
      <c r="B500" s="23"/>
    </row>
    <row r="501" spans="2:2" x14ac:dyDescent="0.25">
      <c r="B501" s="23"/>
    </row>
    <row r="502" spans="2:2" x14ac:dyDescent="0.25">
      <c r="B502" s="23"/>
    </row>
    <row r="503" spans="2:2" x14ac:dyDescent="0.25">
      <c r="B503" s="23"/>
    </row>
    <row r="504" spans="2:2" x14ac:dyDescent="0.25">
      <c r="B504" s="23"/>
    </row>
    <row r="505" spans="2:2" x14ac:dyDescent="0.25">
      <c r="B505" s="23"/>
    </row>
    <row r="506" spans="2:2" x14ac:dyDescent="0.25">
      <c r="B506" s="23"/>
    </row>
    <row r="507" spans="2:2" x14ac:dyDescent="0.25">
      <c r="B507" s="23"/>
    </row>
    <row r="508" spans="2:2" x14ac:dyDescent="0.25">
      <c r="B508" s="23"/>
    </row>
    <row r="509" spans="2:2" x14ac:dyDescent="0.25">
      <c r="B509" s="23"/>
    </row>
    <row r="510" spans="2:2" x14ac:dyDescent="0.25">
      <c r="B510" s="23"/>
    </row>
    <row r="511" spans="2:2" x14ac:dyDescent="0.25">
      <c r="B511" s="23"/>
    </row>
    <row r="512" spans="2:2" x14ac:dyDescent="0.25">
      <c r="B512" s="23"/>
    </row>
    <row r="513" spans="2:2" x14ac:dyDescent="0.25">
      <c r="B513" s="23"/>
    </row>
    <row r="514" spans="2:2" x14ac:dyDescent="0.25">
      <c r="B514" s="23"/>
    </row>
    <row r="515" spans="2:2" x14ac:dyDescent="0.25">
      <c r="B515" s="23"/>
    </row>
    <row r="516" spans="2:2" x14ac:dyDescent="0.25">
      <c r="B516" s="23"/>
    </row>
    <row r="517" spans="2:2" x14ac:dyDescent="0.25">
      <c r="B517" s="23"/>
    </row>
    <row r="518" spans="2:2" x14ac:dyDescent="0.25">
      <c r="B518" s="23"/>
    </row>
    <row r="519" spans="2:2" x14ac:dyDescent="0.25">
      <c r="B519" s="23"/>
    </row>
    <row r="520" spans="2:2" x14ac:dyDescent="0.25">
      <c r="B520" s="23"/>
    </row>
    <row r="521" spans="2:2" x14ac:dyDescent="0.25">
      <c r="B521" s="23"/>
    </row>
    <row r="522" spans="2:2" x14ac:dyDescent="0.25">
      <c r="B522" s="23"/>
    </row>
    <row r="523" spans="2:2" x14ac:dyDescent="0.25">
      <c r="B523" s="23"/>
    </row>
    <row r="524" spans="2:2" x14ac:dyDescent="0.25">
      <c r="B524" s="23"/>
    </row>
    <row r="525" spans="2:2" x14ac:dyDescent="0.25">
      <c r="B525" s="23"/>
    </row>
    <row r="526" spans="2:2" x14ac:dyDescent="0.25">
      <c r="B526" s="23"/>
    </row>
    <row r="527" spans="2:2" x14ac:dyDescent="0.25">
      <c r="B527" s="23"/>
    </row>
    <row r="528" spans="2:2" x14ac:dyDescent="0.25">
      <c r="B528" s="23"/>
    </row>
    <row r="529" spans="2:2" x14ac:dyDescent="0.25">
      <c r="B529" s="23"/>
    </row>
    <row r="530" spans="2:2" x14ac:dyDescent="0.25">
      <c r="B530" s="23"/>
    </row>
    <row r="531" spans="2:2" x14ac:dyDescent="0.25">
      <c r="B531" s="23"/>
    </row>
    <row r="532" spans="2:2" x14ac:dyDescent="0.25">
      <c r="B532" s="23"/>
    </row>
    <row r="533" spans="2:2" x14ac:dyDescent="0.25">
      <c r="B533" s="23"/>
    </row>
    <row r="534" spans="2:2" x14ac:dyDescent="0.25">
      <c r="B534" s="23"/>
    </row>
    <row r="535" spans="2:2" x14ac:dyDescent="0.25">
      <c r="B535" s="23"/>
    </row>
    <row r="536" spans="2:2" x14ac:dyDescent="0.25">
      <c r="B536" s="23"/>
    </row>
    <row r="537" spans="2:2" x14ac:dyDescent="0.25">
      <c r="B537" s="23"/>
    </row>
    <row r="538" spans="2:2" x14ac:dyDescent="0.25">
      <c r="B538" s="23"/>
    </row>
    <row r="539" spans="2:2" x14ac:dyDescent="0.25">
      <c r="B539" s="23"/>
    </row>
    <row r="540" spans="2:2" x14ac:dyDescent="0.25">
      <c r="B540" s="23"/>
    </row>
    <row r="541" spans="2:2" x14ac:dyDescent="0.25">
      <c r="B541" s="23"/>
    </row>
    <row r="542" spans="2:2" x14ac:dyDescent="0.25">
      <c r="B542" s="23"/>
    </row>
    <row r="543" spans="2:2" x14ac:dyDescent="0.25">
      <c r="B543" s="23"/>
    </row>
    <row r="544" spans="2:2" x14ac:dyDescent="0.25">
      <c r="B544" s="23"/>
    </row>
    <row r="545" spans="2:2" x14ac:dyDescent="0.25">
      <c r="B545" s="23"/>
    </row>
    <row r="546" spans="2:2" x14ac:dyDescent="0.25">
      <c r="B546" s="23"/>
    </row>
    <row r="547" spans="2:2" x14ac:dyDescent="0.25">
      <c r="B547" s="23"/>
    </row>
    <row r="548" spans="2:2" x14ac:dyDescent="0.25">
      <c r="B548" s="23"/>
    </row>
    <row r="549" spans="2:2" x14ac:dyDescent="0.25">
      <c r="B549" s="23"/>
    </row>
    <row r="550" spans="2:2" x14ac:dyDescent="0.25">
      <c r="B550" s="23"/>
    </row>
    <row r="551" spans="2:2" x14ac:dyDescent="0.25">
      <c r="B551" s="23"/>
    </row>
    <row r="552" spans="2:2" x14ac:dyDescent="0.25">
      <c r="B552" s="23"/>
    </row>
    <row r="553" spans="2:2" x14ac:dyDescent="0.25">
      <c r="B553" s="23"/>
    </row>
    <row r="554" spans="2:2" x14ac:dyDescent="0.25">
      <c r="B554" s="23"/>
    </row>
    <row r="555" spans="2:2" x14ac:dyDescent="0.25">
      <c r="B555" s="23"/>
    </row>
    <row r="556" spans="2:2" x14ac:dyDescent="0.25">
      <c r="B556" s="23"/>
    </row>
    <row r="557" spans="2:2" x14ac:dyDescent="0.25">
      <c r="B557" s="23"/>
    </row>
    <row r="558" spans="2:2" x14ac:dyDescent="0.25">
      <c r="B558" s="23"/>
    </row>
    <row r="559" spans="2:2" x14ac:dyDescent="0.25">
      <c r="B559" s="23"/>
    </row>
    <row r="560" spans="2:2" x14ac:dyDescent="0.25">
      <c r="B560" s="23"/>
    </row>
    <row r="561" spans="2:2" x14ac:dyDescent="0.25">
      <c r="B561" s="23"/>
    </row>
    <row r="562" spans="2:2" x14ac:dyDescent="0.25">
      <c r="B562" s="23"/>
    </row>
    <row r="563" spans="2:2" x14ac:dyDescent="0.25">
      <c r="B563" s="23"/>
    </row>
    <row r="564" spans="2:2" x14ac:dyDescent="0.25">
      <c r="B564" s="23"/>
    </row>
    <row r="565" spans="2:2" x14ac:dyDescent="0.25">
      <c r="B565" s="23"/>
    </row>
    <row r="566" spans="2:2" x14ac:dyDescent="0.25">
      <c r="B566" s="23"/>
    </row>
    <row r="567" spans="2:2" x14ac:dyDescent="0.25">
      <c r="B567" s="23"/>
    </row>
    <row r="568" spans="2:2" x14ac:dyDescent="0.25">
      <c r="B568" s="23"/>
    </row>
    <row r="569" spans="2:2" x14ac:dyDescent="0.25">
      <c r="B569" s="23"/>
    </row>
    <row r="570" spans="2:2" x14ac:dyDescent="0.25">
      <c r="B570" s="23"/>
    </row>
    <row r="571" spans="2:2" x14ac:dyDescent="0.25">
      <c r="B571" s="23"/>
    </row>
    <row r="572" spans="2:2" x14ac:dyDescent="0.25">
      <c r="B572" s="23"/>
    </row>
    <row r="573" spans="2:2" x14ac:dyDescent="0.25">
      <c r="B573" s="23"/>
    </row>
    <row r="574" spans="2:2" x14ac:dyDescent="0.25">
      <c r="B574" s="23"/>
    </row>
    <row r="575" spans="2:2" x14ac:dyDescent="0.25">
      <c r="B575" s="23"/>
    </row>
    <row r="576" spans="2:2" x14ac:dyDescent="0.25">
      <c r="B576" s="23"/>
    </row>
    <row r="577" spans="2:2" x14ac:dyDescent="0.25">
      <c r="B577" s="23"/>
    </row>
    <row r="578" spans="2:2" x14ac:dyDescent="0.25">
      <c r="B578" s="23"/>
    </row>
    <row r="579" spans="2:2" x14ac:dyDescent="0.25">
      <c r="B579" s="23"/>
    </row>
    <row r="580" spans="2:2" x14ac:dyDescent="0.25">
      <c r="B580" s="23"/>
    </row>
    <row r="581" spans="2:2" x14ac:dyDescent="0.25">
      <c r="B581" s="23"/>
    </row>
    <row r="582" spans="2:2" x14ac:dyDescent="0.25">
      <c r="B582" s="23"/>
    </row>
    <row r="583" spans="2:2" x14ac:dyDescent="0.25">
      <c r="B583" s="23"/>
    </row>
    <row r="584" spans="2:2" x14ac:dyDescent="0.25">
      <c r="B584" s="23"/>
    </row>
    <row r="585" spans="2:2" x14ac:dyDescent="0.25">
      <c r="B585" s="23"/>
    </row>
    <row r="586" spans="2:2" x14ac:dyDescent="0.25">
      <c r="B586" s="23"/>
    </row>
    <row r="587" spans="2:2" x14ac:dyDescent="0.25">
      <c r="B587" s="23"/>
    </row>
    <row r="588" spans="2:2" x14ac:dyDescent="0.25">
      <c r="B588" s="23"/>
    </row>
    <row r="589" spans="2:2" x14ac:dyDescent="0.25">
      <c r="B589" s="23"/>
    </row>
    <row r="590" spans="2:2" x14ac:dyDescent="0.25">
      <c r="B590" s="23"/>
    </row>
    <row r="591" spans="2:2" x14ac:dyDescent="0.25">
      <c r="B591" s="23"/>
    </row>
    <row r="592" spans="2:2" x14ac:dyDescent="0.25">
      <c r="B592" s="23"/>
    </row>
    <row r="593" spans="2:2" x14ac:dyDescent="0.25">
      <c r="B593" s="23"/>
    </row>
    <row r="594" spans="2:2" x14ac:dyDescent="0.25">
      <c r="B594" s="23"/>
    </row>
    <row r="595" spans="2:2" x14ac:dyDescent="0.25">
      <c r="B595" s="23"/>
    </row>
    <row r="596" spans="2:2" x14ac:dyDescent="0.25">
      <c r="B596" s="23"/>
    </row>
    <row r="597" spans="2:2" x14ac:dyDescent="0.25">
      <c r="B597" s="23"/>
    </row>
    <row r="598" spans="2:2" x14ac:dyDescent="0.25">
      <c r="B598" s="23"/>
    </row>
    <row r="599" spans="2:2" x14ac:dyDescent="0.25">
      <c r="B599" s="23"/>
    </row>
    <row r="600" spans="2:2" x14ac:dyDescent="0.25">
      <c r="B600" s="23"/>
    </row>
    <row r="601" spans="2:2" x14ac:dyDescent="0.25">
      <c r="B601" s="23"/>
    </row>
    <row r="602" spans="2:2" x14ac:dyDescent="0.25">
      <c r="B602" s="23"/>
    </row>
    <row r="603" spans="2:2" x14ac:dyDescent="0.25">
      <c r="B603" s="23"/>
    </row>
    <row r="604" spans="2:2" x14ac:dyDescent="0.25">
      <c r="B604" s="23"/>
    </row>
    <row r="605" spans="2:2" x14ac:dyDescent="0.25">
      <c r="B605" s="23"/>
    </row>
    <row r="606" spans="2:2" x14ac:dyDescent="0.25">
      <c r="B606" s="23"/>
    </row>
    <row r="607" spans="2:2" x14ac:dyDescent="0.25">
      <c r="B607" s="23"/>
    </row>
    <row r="608" spans="2:2" x14ac:dyDescent="0.25">
      <c r="B608" s="23"/>
    </row>
    <row r="609" spans="2:2" x14ac:dyDescent="0.25">
      <c r="B609" s="23"/>
    </row>
    <row r="610" spans="2:2" x14ac:dyDescent="0.25">
      <c r="B610" s="23"/>
    </row>
    <row r="611" spans="2:2" x14ac:dyDescent="0.25">
      <c r="B611" s="23"/>
    </row>
    <row r="612" spans="2:2" x14ac:dyDescent="0.25">
      <c r="B612" s="23"/>
    </row>
    <row r="613" spans="2:2" x14ac:dyDescent="0.25">
      <c r="B613" s="23"/>
    </row>
    <row r="614" spans="2:2" x14ac:dyDescent="0.25">
      <c r="B614" s="23"/>
    </row>
    <row r="615" spans="2:2" x14ac:dyDescent="0.25">
      <c r="B615" s="23"/>
    </row>
    <row r="616" spans="2:2" x14ac:dyDescent="0.25">
      <c r="B616" s="23"/>
    </row>
    <row r="617" spans="2:2" x14ac:dyDescent="0.25">
      <c r="B617" s="23"/>
    </row>
    <row r="618" spans="2:2" x14ac:dyDescent="0.25">
      <c r="B618" s="23"/>
    </row>
    <row r="619" spans="2:2" x14ac:dyDescent="0.25">
      <c r="B619" s="23"/>
    </row>
    <row r="620" spans="2:2" x14ac:dyDescent="0.25">
      <c r="B620" s="23"/>
    </row>
    <row r="621" spans="2:2" x14ac:dyDescent="0.25">
      <c r="B621" s="23"/>
    </row>
    <row r="622" spans="2:2" x14ac:dyDescent="0.25">
      <c r="B622" s="23"/>
    </row>
    <row r="623" spans="2:2" x14ac:dyDescent="0.25">
      <c r="B623" s="23"/>
    </row>
    <row r="624" spans="2:2" x14ac:dyDescent="0.25">
      <c r="B624" s="23"/>
    </row>
    <row r="625" spans="2:2" x14ac:dyDescent="0.25">
      <c r="B625" s="23"/>
    </row>
    <row r="626" spans="2:2" x14ac:dyDescent="0.25">
      <c r="B626" s="23"/>
    </row>
    <row r="627" spans="2:2" x14ac:dyDescent="0.25">
      <c r="B627" s="23"/>
    </row>
    <row r="628" spans="2:2" x14ac:dyDescent="0.25">
      <c r="B628" s="23"/>
    </row>
    <row r="629" spans="2:2" x14ac:dyDescent="0.25">
      <c r="B629" s="23"/>
    </row>
    <row r="630" spans="2:2" x14ac:dyDescent="0.25">
      <c r="B630" s="23"/>
    </row>
    <row r="631" spans="2:2" x14ac:dyDescent="0.25">
      <c r="B631" s="23"/>
    </row>
    <row r="632" spans="2:2" x14ac:dyDescent="0.25">
      <c r="B632" s="23"/>
    </row>
    <row r="633" spans="2:2" x14ac:dyDescent="0.25">
      <c r="B633" s="23"/>
    </row>
    <row r="634" spans="2:2" x14ac:dyDescent="0.25">
      <c r="B634" s="23"/>
    </row>
    <row r="635" spans="2:2" x14ac:dyDescent="0.25">
      <c r="B635" s="23"/>
    </row>
    <row r="636" spans="2:2" x14ac:dyDescent="0.25">
      <c r="B636" s="23"/>
    </row>
    <row r="637" spans="2:2" x14ac:dyDescent="0.25">
      <c r="B637" s="23"/>
    </row>
    <row r="638" spans="2:2" x14ac:dyDescent="0.25">
      <c r="B638" s="23"/>
    </row>
    <row r="639" spans="2:2" x14ac:dyDescent="0.25">
      <c r="B639" s="23"/>
    </row>
    <row r="640" spans="2:2" x14ac:dyDescent="0.25">
      <c r="B640" s="23"/>
    </row>
    <row r="641" spans="2:2" x14ac:dyDescent="0.25">
      <c r="B641" s="23"/>
    </row>
    <row r="642" spans="2:2" x14ac:dyDescent="0.25">
      <c r="B642" s="23"/>
    </row>
    <row r="643" spans="2:2" x14ac:dyDescent="0.25">
      <c r="B643" s="23"/>
    </row>
    <row r="644" spans="2:2" x14ac:dyDescent="0.25">
      <c r="B644" s="23"/>
    </row>
    <row r="645" spans="2:2" x14ac:dyDescent="0.25">
      <c r="B645" s="23"/>
    </row>
    <row r="646" spans="2:2" x14ac:dyDescent="0.25">
      <c r="B646" s="23"/>
    </row>
    <row r="647" spans="2:2" x14ac:dyDescent="0.25">
      <c r="B647" s="23"/>
    </row>
    <row r="648" spans="2:2" x14ac:dyDescent="0.25">
      <c r="B648" s="23"/>
    </row>
    <row r="649" spans="2:2" x14ac:dyDescent="0.25">
      <c r="B649" s="23"/>
    </row>
    <row r="650" spans="2:2" x14ac:dyDescent="0.25">
      <c r="B650" s="23"/>
    </row>
    <row r="651" spans="2:2" x14ac:dyDescent="0.25">
      <c r="B651" s="23"/>
    </row>
    <row r="652" spans="2:2" x14ac:dyDescent="0.25">
      <c r="B652" s="23"/>
    </row>
    <row r="653" spans="2:2" x14ac:dyDescent="0.25">
      <c r="B653" s="23"/>
    </row>
    <row r="654" spans="2:2" x14ac:dyDescent="0.25">
      <c r="B654" s="23"/>
    </row>
    <row r="655" spans="2:2" x14ac:dyDescent="0.25">
      <c r="B655" s="23"/>
    </row>
    <row r="656" spans="2:2" x14ac:dyDescent="0.25">
      <c r="B656" s="23"/>
    </row>
    <row r="657" spans="2:2" x14ac:dyDescent="0.25">
      <c r="B657" s="23"/>
    </row>
    <row r="658" spans="2:2" x14ac:dyDescent="0.25">
      <c r="B658" s="23"/>
    </row>
    <row r="659" spans="2:2" x14ac:dyDescent="0.25">
      <c r="B659" s="23"/>
    </row>
    <row r="660" spans="2:2" x14ac:dyDescent="0.25">
      <c r="B660" s="23"/>
    </row>
    <row r="661" spans="2:2" x14ac:dyDescent="0.25">
      <c r="B661" s="23"/>
    </row>
    <row r="662" spans="2:2" x14ac:dyDescent="0.25">
      <c r="B662" s="23"/>
    </row>
    <row r="663" spans="2:2" x14ac:dyDescent="0.25">
      <c r="B663" s="23"/>
    </row>
    <row r="664" spans="2:2" x14ac:dyDescent="0.25">
      <c r="B664" s="23"/>
    </row>
    <row r="665" spans="2:2" x14ac:dyDescent="0.25">
      <c r="B665" s="23"/>
    </row>
    <row r="666" spans="2:2" x14ac:dyDescent="0.25">
      <c r="B666" s="23"/>
    </row>
    <row r="667" spans="2:2" x14ac:dyDescent="0.25">
      <c r="B667" s="23"/>
    </row>
    <row r="668" spans="2:2" x14ac:dyDescent="0.25">
      <c r="B668" s="23"/>
    </row>
    <row r="669" spans="2:2" x14ac:dyDescent="0.25">
      <c r="B669" s="23"/>
    </row>
    <row r="670" spans="2:2" x14ac:dyDescent="0.25">
      <c r="B670" s="23"/>
    </row>
    <row r="671" spans="2:2" x14ac:dyDescent="0.25">
      <c r="B671" s="23"/>
    </row>
    <row r="672" spans="2:2" x14ac:dyDescent="0.25">
      <c r="B672" s="23"/>
    </row>
    <row r="673" spans="2:2" x14ac:dyDescent="0.25">
      <c r="B673" s="23"/>
    </row>
    <row r="674" spans="2:2" x14ac:dyDescent="0.25">
      <c r="B674" s="23"/>
    </row>
    <row r="675" spans="2:2" x14ac:dyDescent="0.25">
      <c r="B675" s="23"/>
    </row>
    <row r="676" spans="2:2" x14ac:dyDescent="0.25">
      <c r="B676" s="23"/>
    </row>
    <row r="677" spans="2:2" x14ac:dyDescent="0.25">
      <c r="B677" s="23"/>
    </row>
    <row r="678" spans="2:2" x14ac:dyDescent="0.25">
      <c r="B678" s="23"/>
    </row>
    <row r="679" spans="2:2" x14ac:dyDescent="0.25">
      <c r="B679" s="23"/>
    </row>
    <row r="680" spans="2:2" x14ac:dyDescent="0.25">
      <c r="B680" s="23"/>
    </row>
    <row r="681" spans="2:2" x14ac:dyDescent="0.25">
      <c r="B681" s="23"/>
    </row>
    <row r="682" spans="2:2" x14ac:dyDescent="0.25">
      <c r="B682" s="23"/>
    </row>
    <row r="683" spans="2:2" x14ac:dyDescent="0.25">
      <c r="B683" s="23"/>
    </row>
    <row r="684" spans="2:2" x14ac:dyDescent="0.25">
      <c r="B684" s="23"/>
    </row>
    <row r="685" spans="2:2" x14ac:dyDescent="0.25">
      <c r="B685" s="23"/>
    </row>
    <row r="686" spans="2:2" x14ac:dyDescent="0.25">
      <c r="B686" s="23"/>
    </row>
    <row r="687" spans="2:2" x14ac:dyDescent="0.25">
      <c r="B687" s="23"/>
    </row>
    <row r="688" spans="2:2" x14ac:dyDescent="0.25">
      <c r="B688" s="23"/>
    </row>
    <row r="689" spans="2:2" x14ac:dyDescent="0.25">
      <c r="B689" s="23"/>
    </row>
    <row r="690" spans="2:2" x14ac:dyDescent="0.25">
      <c r="B690" s="23"/>
    </row>
    <row r="691" spans="2:2" x14ac:dyDescent="0.25">
      <c r="B691" s="23"/>
    </row>
    <row r="692" spans="2:2" x14ac:dyDescent="0.25">
      <c r="B692" s="23"/>
    </row>
    <row r="693" spans="2:2" x14ac:dyDescent="0.25">
      <c r="B693" s="23"/>
    </row>
    <row r="694" spans="2:2" x14ac:dyDescent="0.25">
      <c r="B694" s="23"/>
    </row>
    <row r="695" spans="2:2" x14ac:dyDescent="0.25">
      <c r="B695" s="23"/>
    </row>
    <row r="696" spans="2:2" x14ac:dyDescent="0.25">
      <c r="B696" s="23"/>
    </row>
    <row r="697" spans="2:2" x14ac:dyDescent="0.25">
      <c r="B697" s="23"/>
    </row>
    <row r="698" spans="2:2" x14ac:dyDescent="0.25">
      <c r="B698" s="23"/>
    </row>
    <row r="699" spans="2:2" x14ac:dyDescent="0.25">
      <c r="B699" s="23"/>
    </row>
    <row r="700" spans="2:2" x14ac:dyDescent="0.25">
      <c r="B700" s="23"/>
    </row>
    <row r="701" spans="2:2" x14ac:dyDescent="0.25">
      <c r="B701" s="23"/>
    </row>
    <row r="702" spans="2:2" x14ac:dyDescent="0.25">
      <c r="B702" s="23"/>
    </row>
    <row r="703" spans="2:2" x14ac:dyDescent="0.25">
      <c r="B703" s="23"/>
    </row>
    <row r="704" spans="2:2" x14ac:dyDescent="0.25">
      <c r="B704" s="23"/>
    </row>
    <row r="705" spans="2:2" x14ac:dyDescent="0.25">
      <c r="B705" s="23"/>
    </row>
    <row r="706" spans="2:2" x14ac:dyDescent="0.25">
      <c r="B706" s="23"/>
    </row>
    <row r="707" spans="2:2" x14ac:dyDescent="0.25">
      <c r="B707" s="23"/>
    </row>
    <row r="708" spans="2:2" x14ac:dyDescent="0.25">
      <c r="B708" s="23"/>
    </row>
    <row r="709" spans="2:2" x14ac:dyDescent="0.25">
      <c r="B709" s="23"/>
    </row>
    <row r="710" spans="2:2" x14ac:dyDescent="0.25">
      <c r="B710" s="23"/>
    </row>
    <row r="711" spans="2:2" x14ac:dyDescent="0.25">
      <c r="B711" s="23"/>
    </row>
    <row r="712" spans="2:2" x14ac:dyDescent="0.25">
      <c r="B712" s="23"/>
    </row>
    <row r="713" spans="2:2" x14ac:dyDescent="0.25">
      <c r="B713" s="23"/>
    </row>
    <row r="714" spans="2:2" x14ac:dyDescent="0.25">
      <c r="B714" s="23"/>
    </row>
    <row r="715" spans="2:2" x14ac:dyDescent="0.25">
      <c r="B715" s="23"/>
    </row>
    <row r="716" spans="2:2" x14ac:dyDescent="0.25">
      <c r="B716" s="23"/>
    </row>
    <row r="717" spans="2:2" x14ac:dyDescent="0.25">
      <c r="B717" s="23"/>
    </row>
    <row r="718" spans="2:2" x14ac:dyDescent="0.25">
      <c r="B718" s="23"/>
    </row>
    <row r="719" spans="2:2" x14ac:dyDescent="0.25">
      <c r="B719" s="23"/>
    </row>
    <row r="720" spans="2:2" x14ac:dyDescent="0.25">
      <c r="B720" s="23"/>
    </row>
    <row r="721" spans="2:2" x14ac:dyDescent="0.25">
      <c r="B721" s="23"/>
    </row>
    <row r="722" spans="2:2" x14ac:dyDescent="0.25">
      <c r="B722" s="23"/>
    </row>
    <row r="723" spans="2:2" x14ac:dyDescent="0.25">
      <c r="B723" s="23"/>
    </row>
    <row r="724" spans="2:2" x14ac:dyDescent="0.25">
      <c r="B724" s="23"/>
    </row>
    <row r="725" spans="2:2" x14ac:dyDescent="0.25">
      <c r="B725" s="23"/>
    </row>
    <row r="726" spans="2:2" x14ac:dyDescent="0.25">
      <c r="B726" s="23"/>
    </row>
    <row r="727" spans="2:2" x14ac:dyDescent="0.25">
      <c r="B727" s="23"/>
    </row>
    <row r="728" spans="2:2" x14ac:dyDescent="0.25">
      <c r="B728" s="23"/>
    </row>
    <row r="729" spans="2:2" x14ac:dyDescent="0.25">
      <c r="B729" s="23"/>
    </row>
    <row r="730" spans="2:2" x14ac:dyDescent="0.25">
      <c r="B730" s="23"/>
    </row>
    <row r="731" spans="2:2" x14ac:dyDescent="0.25">
      <c r="B731" s="23"/>
    </row>
    <row r="732" spans="2:2" x14ac:dyDescent="0.25">
      <c r="B732" s="23"/>
    </row>
    <row r="733" spans="2:2" x14ac:dyDescent="0.25">
      <c r="B733" s="23"/>
    </row>
    <row r="734" spans="2:2" x14ac:dyDescent="0.25">
      <c r="B734" s="23"/>
    </row>
    <row r="735" spans="2:2" x14ac:dyDescent="0.25">
      <c r="B735" s="23"/>
    </row>
    <row r="736" spans="2:2" x14ac:dyDescent="0.25">
      <c r="B736" s="23"/>
    </row>
    <row r="737" spans="2:2" x14ac:dyDescent="0.25">
      <c r="B737" s="23"/>
    </row>
    <row r="738" spans="2:2" x14ac:dyDescent="0.25">
      <c r="B738" s="23"/>
    </row>
    <row r="739" spans="2:2" x14ac:dyDescent="0.25">
      <c r="B739" s="23"/>
    </row>
    <row r="740" spans="2:2" x14ac:dyDescent="0.25">
      <c r="B740" s="23"/>
    </row>
    <row r="741" spans="2:2" x14ac:dyDescent="0.25">
      <c r="B741" s="23"/>
    </row>
    <row r="742" spans="2:2" x14ac:dyDescent="0.25">
      <c r="B742" s="23"/>
    </row>
    <row r="743" spans="2:2" x14ac:dyDescent="0.25">
      <c r="B743" s="23"/>
    </row>
    <row r="744" spans="2:2" x14ac:dyDescent="0.25">
      <c r="B744" s="23"/>
    </row>
    <row r="745" spans="2:2" x14ac:dyDescent="0.25">
      <c r="B745" s="23"/>
    </row>
    <row r="746" spans="2:2" x14ac:dyDescent="0.25">
      <c r="B746" s="23"/>
    </row>
    <row r="747" spans="2:2" x14ac:dyDescent="0.25">
      <c r="B747" s="23"/>
    </row>
    <row r="748" spans="2:2" x14ac:dyDescent="0.25">
      <c r="B748" s="23"/>
    </row>
    <row r="749" spans="2:2" x14ac:dyDescent="0.25">
      <c r="B749" s="23"/>
    </row>
    <row r="750" spans="2:2" x14ac:dyDescent="0.25">
      <c r="B750" s="23"/>
    </row>
    <row r="751" spans="2:2" x14ac:dyDescent="0.25">
      <c r="B751" s="23"/>
    </row>
    <row r="752" spans="2:2" x14ac:dyDescent="0.25">
      <c r="B752" s="23"/>
    </row>
    <row r="753" spans="2:2" x14ac:dyDescent="0.25">
      <c r="B753" s="23"/>
    </row>
    <row r="754" spans="2:2" x14ac:dyDescent="0.25">
      <c r="B754" s="23"/>
    </row>
    <row r="755" spans="2:2" x14ac:dyDescent="0.25">
      <c r="B755" s="23"/>
    </row>
    <row r="756" spans="2:2" x14ac:dyDescent="0.25">
      <c r="B756" s="23"/>
    </row>
    <row r="757" spans="2:2" x14ac:dyDescent="0.25">
      <c r="B757" s="23"/>
    </row>
    <row r="758" spans="2:2" x14ac:dyDescent="0.25">
      <c r="B758" s="23"/>
    </row>
    <row r="759" spans="2:2" x14ac:dyDescent="0.25">
      <c r="B759" s="23"/>
    </row>
    <row r="760" spans="2:2" x14ac:dyDescent="0.25">
      <c r="B760" s="23"/>
    </row>
    <row r="761" spans="2:2" x14ac:dyDescent="0.25">
      <c r="B761" s="23"/>
    </row>
    <row r="762" spans="2:2" x14ac:dyDescent="0.25">
      <c r="B762" s="23"/>
    </row>
    <row r="763" spans="2:2" x14ac:dyDescent="0.25">
      <c r="B763" s="23"/>
    </row>
    <row r="764" spans="2:2" x14ac:dyDescent="0.25">
      <c r="B764" s="23"/>
    </row>
    <row r="765" spans="2:2" x14ac:dyDescent="0.25">
      <c r="B765" s="23"/>
    </row>
    <row r="766" spans="2:2" x14ac:dyDescent="0.25">
      <c r="B766" s="23"/>
    </row>
    <row r="767" spans="2:2" x14ac:dyDescent="0.25">
      <c r="B767" s="23"/>
    </row>
    <row r="768" spans="2:2" x14ac:dyDescent="0.25">
      <c r="B768" s="23"/>
    </row>
    <row r="769" spans="2:2" x14ac:dyDescent="0.25">
      <c r="B769" s="23"/>
    </row>
    <row r="770" spans="2:2" x14ac:dyDescent="0.25">
      <c r="B770" s="23"/>
    </row>
    <row r="771" spans="2:2" x14ac:dyDescent="0.25">
      <c r="B771" s="23"/>
    </row>
    <row r="772" spans="2:2" x14ac:dyDescent="0.25">
      <c r="B772" s="23"/>
    </row>
    <row r="773" spans="2:2" x14ac:dyDescent="0.25">
      <c r="B773" s="23"/>
    </row>
    <row r="774" spans="2:2" x14ac:dyDescent="0.25">
      <c r="B774" s="23"/>
    </row>
    <row r="775" spans="2:2" x14ac:dyDescent="0.25">
      <c r="B775" s="23"/>
    </row>
    <row r="776" spans="2:2" x14ac:dyDescent="0.25">
      <c r="B776" s="23"/>
    </row>
    <row r="777" spans="2:2" x14ac:dyDescent="0.25">
      <c r="B777" s="23"/>
    </row>
    <row r="778" spans="2:2" x14ac:dyDescent="0.25">
      <c r="B778" s="23"/>
    </row>
    <row r="779" spans="2:2" x14ac:dyDescent="0.25">
      <c r="B779" s="23"/>
    </row>
    <row r="780" spans="2:2" x14ac:dyDescent="0.25">
      <c r="B780" s="23"/>
    </row>
    <row r="781" spans="2:2" x14ac:dyDescent="0.25">
      <c r="B781" s="23"/>
    </row>
    <row r="782" spans="2:2" x14ac:dyDescent="0.25">
      <c r="B782" s="23"/>
    </row>
    <row r="783" spans="2:2" x14ac:dyDescent="0.25">
      <c r="B783" s="23"/>
    </row>
    <row r="784" spans="2:2" x14ac:dyDescent="0.25">
      <c r="B784" s="23"/>
    </row>
    <row r="785" spans="2:2" x14ac:dyDescent="0.25">
      <c r="B785" s="23"/>
    </row>
    <row r="786" spans="2:2" x14ac:dyDescent="0.25">
      <c r="B786" s="23"/>
    </row>
    <row r="787" spans="2:2" x14ac:dyDescent="0.25">
      <c r="B787" s="23"/>
    </row>
    <row r="788" spans="2:2" x14ac:dyDescent="0.25">
      <c r="B788" s="23"/>
    </row>
    <row r="789" spans="2:2" x14ac:dyDescent="0.25">
      <c r="B789" s="23"/>
    </row>
    <row r="790" spans="2:2" x14ac:dyDescent="0.25">
      <c r="B790" s="23"/>
    </row>
    <row r="791" spans="2:2" x14ac:dyDescent="0.25">
      <c r="B791" s="23"/>
    </row>
    <row r="792" spans="2:2" x14ac:dyDescent="0.25">
      <c r="B792" s="23"/>
    </row>
    <row r="793" spans="2:2" x14ac:dyDescent="0.25">
      <c r="B793" s="23"/>
    </row>
    <row r="794" spans="2:2" x14ac:dyDescent="0.25">
      <c r="B794" s="23"/>
    </row>
    <row r="795" spans="2:2" x14ac:dyDescent="0.25">
      <c r="B795" s="23"/>
    </row>
    <row r="796" spans="2:2" x14ac:dyDescent="0.25">
      <c r="B796" s="23"/>
    </row>
    <row r="797" spans="2:2" x14ac:dyDescent="0.25">
      <c r="B797" s="23"/>
    </row>
    <row r="798" spans="2:2" x14ac:dyDescent="0.25">
      <c r="B798" s="23"/>
    </row>
    <row r="799" spans="2:2" x14ac:dyDescent="0.25">
      <c r="B799" s="23"/>
    </row>
    <row r="800" spans="2:2" x14ac:dyDescent="0.25">
      <c r="B800" s="23"/>
    </row>
    <row r="801" spans="2:2" x14ac:dyDescent="0.25">
      <c r="B801" s="23"/>
    </row>
    <row r="802" spans="2:2" x14ac:dyDescent="0.25">
      <c r="B802" s="23"/>
    </row>
    <row r="803" spans="2:2" x14ac:dyDescent="0.25">
      <c r="B803" s="23"/>
    </row>
    <row r="804" spans="2:2" x14ac:dyDescent="0.25">
      <c r="B804" s="23"/>
    </row>
    <row r="805" spans="2:2" x14ac:dyDescent="0.25">
      <c r="B805" s="23"/>
    </row>
    <row r="806" spans="2:2" x14ac:dyDescent="0.25">
      <c r="B806" s="23"/>
    </row>
    <row r="807" spans="2:2" x14ac:dyDescent="0.25">
      <c r="B807" s="23"/>
    </row>
    <row r="808" spans="2:2" x14ac:dyDescent="0.25">
      <c r="B808" s="23"/>
    </row>
    <row r="809" spans="2:2" x14ac:dyDescent="0.25">
      <c r="B809" s="23"/>
    </row>
    <row r="810" spans="2:2" x14ac:dyDescent="0.25">
      <c r="B810" s="23"/>
    </row>
    <row r="811" spans="2:2" x14ac:dyDescent="0.25">
      <c r="B811" s="23"/>
    </row>
    <row r="812" spans="2:2" x14ac:dyDescent="0.25">
      <c r="B812" s="23"/>
    </row>
    <row r="813" spans="2:2" x14ac:dyDescent="0.25">
      <c r="B813" s="23"/>
    </row>
    <row r="814" spans="2:2" x14ac:dyDescent="0.25">
      <c r="B814" s="23"/>
    </row>
    <row r="815" spans="2:2" x14ac:dyDescent="0.25">
      <c r="B815" s="23"/>
    </row>
    <row r="816" spans="2:2" x14ac:dyDescent="0.25">
      <c r="B816" s="23"/>
    </row>
    <row r="817" spans="2:2" x14ac:dyDescent="0.25">
      <c r="B817" s="23"/>
    </row>
    <row r="818" spans="2:2" x14ac:dyDescent="0.25">
      <c r="B818" s="23"/>
    </row>
    <row r="819" spans="2:2" x14ac:dyDescent="0.25">
      <c r="B819" s="23"/>
    </row>
    <row r="820" spans="2:2" x14ac:dyDescent="0.25">
      <c r="B820" s="23"/>
    </row>
    <row r="821" spans="2:2" x14ac:dyDescent="0.25">
      <c r="B821" s="23"/>
    </row>
    <row r="822" spans="2:2" x14ac:dyDescent="0.25">
      <c r="B822" s="23"/>
    </row>
    <row r="823" spans="2:2" x14ac:dyDescent="0.25">
      <c r="B823" s="23"/>
    </row>
    <row r="824" spans="2:2" x14ac:dyDescent="0.25">
      <c r="B824" s="23"/>
    </row>
    <row r="825" spans="2:2" x14ac:dyDescent="0.25">
      <c r="B825" s="23"/>
    </row>
    <row r="826" spans="2:2" x14ac:dyDescent="0.25">
      <c r="B826" s="23"/>
    </row>
    <row r="827" spans="2:2" x14ac:dyDescent="0.25">
      <c r="B827" s="23"/>
    </row>
    <row r="828" spans="2:2" x14ac:dyDescent="0.25">
      <c r="B828" s="23"/>
    </row>
    <row r="829" spans="2:2" x14ac:dyDescent="0.25">
      <c r="B829" s="23"/>
    </row>
    <row r="830" spans="2:2" x14ac:dyDescent="0.25">
      <c r="B830" s="23"/>
    </row>
    <row r="831" spans="2:2" x14ac:dyDescent="0.25">
      <c r="B831" s="23"/>
    </row>
    <row r="832" spans="2:2" x14ac:dyDescent="0.25">
      <c r="B832" s="23"/>
    </row>
    <row r="833" spans="2:2" x14ac:dyDescent="0.25">
      <c r="B833" s="23"/>
    </row>
    <row r="834" spans="2:2" x14ac:dyDescent="0.25">
      <c r="B834" s="23"/>
    </row>
    <row r="835" spans="2:2" x14ac:dyDescent="0.25">
      <c r="B835" s="23"/>
    </row>
    <row r="836" spans="2:2" x14ac:dyDescent="0.25">
      <c r="B836" s="23"/>
    </row>
    <row r="837" spans="2:2" x14ac:dyDescent="0.25">
      <c r="B837" s="23"/>
    </row>
    <row r="838" spans="2:2" x14ac:dyDescent="0.25">
      <c r="B838" s="23"/>
    </row>
    <row r="839" spans="2:2" x14ac:dyDescent="0.25">
      <c r="B839" s="23"/>
    </row>
    <row r="840" spans="2:2" x14ac:dyDescent="0.25">
      <c r="B840" s="23"/>
    </row>
    <row r="841" spans="2:2" x14ac:dyDescent="0.25">
      <c r="B841" s="23"/>
    </row>
    <row r="842" spans="2:2" x14ac:dyDescent="0.25">
      <c r="B842" s="23"/>
    </row>
    <row r="843" spans="2:2" x14ac:dyDescent="0.25">
      <c r="B843" s="23"/>
    </row>
    <row r="844" spans="2:2" x14ac:dyDescent="0.25">
      <c r="B844" s="23"/>
    </row>
    <row r="845" spans="2:2" x14ac:dyDescent="0.25">
      <c r="B845" s="23"/>
    </row>
    <row r="846" spans="2:2" x14ac:dyDescent="0.25">
      <c r="B846" s="23"/>
    </row>
    <row r="847" spans="2:2" x14ac:dyDescent="0.25">
      <c r="B847" s="23"/>
    </row>
    <row r="848" spans="2:2" x14ac:dyDescent="0.25">
      <c r="B848" s="23"/>
    </row>
    <row r="849" spans="2:2" x14ac:dyDescent="0.25">
      <c r="B849" s="23"/>
    </row>
    <row r="850" spans="2:2" x14ac:dyDescent="0.25">
      <c r="B850" s="23"/>
    </row>
    <row r="851" spans="2:2" x14ac:dyDescent="0.25">
      <c r="B851" s="23"/>
    </row>
    <row r="852" spans="2:2" x14ac:dyDescent="0.25">
      <c r="B852" s="23"/>
    </row>
    <row r="853" spans="2:2" x14ac:dyDescent="0.25">
      <c r="B853" s="23"/>
    </row>
    <row r="854" spans="2:2" x14ac:dyDescent="0.25">
      <c r="B854" s="23"/>
    </row>
    <row r="855" spans="2:2" x14ac:dyDescent="0.25">
      <c r="B855" s="23"/>
    </row>
    <row r="856" spans="2:2" x14ac:dyDescent="0.25">
      <c r="B856" s="23"/>
    </row>
    <row r="857" spans="2:2" x14ac:dyDescent="0.25">
      <c r="B857" s="23"/>
    </row>
    <row r="858" spans="2:2" x14ac:dyDescent="0.25">
      <c r="B858" s="23"/>
    </row>
    <row r="859" spans="2:2" x14ac:dyDescent="0.25">
      <c r="B859" s="23"/>
    </row>
    <row r="860" spans="2:2" x14ac:dyDescent="0.25">
      <c r="B860" s="23"/>
    </row>
    <row r="861" spans="2:2" x14ac:dyDescent="0.25">
      <c r="B861" s="23"/>
    </row>
    <row r="862" spans="2:2" x14ac:dyDescent="0.25">
      <c r="B862" s="23"/>
    </row>
    <row r="863" spans="2:2" x14ac:dyDescent="0.25">
      <c r="B863" s="23"/>
    </row>
    <row r="864" spans="2:2" x14ac:dyDescent="0.25">
      <c r="B864" s="23"/>
    </row>
    <row r="865" spans="2:2" x14ac:dyDescent="0.25">
      <c r="B865" s="23"/>
    </row>
    <row r="866" spans="2:2" x14ac:dyDescent="0.25">
      <c r="B866" s="23"/>
    </row>
    <row r="867" spans="2:2" x14ac:dyDescent="0.25">
      <c r="B867" s="23"/>
    </row>
    <row r="868" spans="2:2" x14ac:dyDescent="0.25">
      <c r="B868" s="23"/>
    </row>
    <row r="869" spans="2:2" x14ac:dyDescent="0.25">
      <c r="B869" s="23"/>
    </row>
    <row r="870" spans="2:2" x14ac:dyDescent="0.25">
      <c r="B870" s="23"/>
    </row>
    <row r="871" spans="2:2" x14ac:dyDescent="0.25">
      <c r="B871" s="23"/>
    </row>
    <row r="872" spans="2:2" x14ac:dyDescent="0.25">
      <c r="B872" s="23"/>
    </row>
    <row r="873" spans="2:2" x14ac:dyDescent="0.25">
      <c r="B873" s="23"/>
    </row>
    <row r="874" spans="2:2" x14ac:dyDescent="0.25">
      <c r="B874" s="23"/>
    </row>
    <row r="875" spans="2:2" x14ac:dyDescent="0.25">
      <c r="B875" s="23"/>
    </row>
    <row r="876" spans="2:2" x14ac:dyDescent="0.25">
      <c r="B876" s="23"/>
    </row>
    <row r="877" spans="2:2" x14ac:dyDescent="0.25">
      <c r="B877" s="23"/>
    </row>
    <row r="878" spans="2:2" x14ac:dyDescent="0.25">
      <c r="B878" s="23"/>
    </row>
    <row r="879" spans="2:2" x14ac:dyDescent="0.25">
      <c r="B879" s="23"/>
    </row>
    <row r="880" spans="2:2" x14ac:dyDescent="0.25">
      <c r="B880" s="23"/>
    </row>
    <row r="881" spans="2:2" x14ac:dyDescent="0.25">
      <c r="B881" s="23"/>
    </row>
    <row r="882" spans="2:2" x14ac:dyDescent="0.25">
      <c r="B882" s="23"/>
    </row>
    <row r="883" spans="2:2" x14ac:dyDescent="0.25">
      <c r="B883" s="23"/>
    </row>
    <row r="884" spans="2:2" x14ac:dyDescent="0.25">
      <c r="B884" s="23"/>
    </row>
    <row r="885" spans="2:2" x14ac:dyDescent="0.25">
      <c r="B885" s="23"/>
    </row>
    <row r="886" spans="2:2" x14ac:dyDescent="0.25">
      <c r="B886" s="23"/>
    </row>
    <row r="887" spans="2:2" x14ac:dyDescent="0.25">
      <c r="B887" s="23"/>
    </row>
    <row r="888" spans="2:2" x14ac:dyDescent="0.25">
      <c r="B888" s="23"/>
    </row>
    <row r="889" spans="2:2" x14ac:dyDescent="0.25">
      <c r="B889" s="23"/>
    </row>
    <row r="890" spans="2:2" x14ac:dyDescent="0.25">
      <c r="B890" s="23"/>
    </row>
    <row r="891" spans="2:2" x14ac:dyDescent="0.25">
      <c r="B891" s="23"/>
    </row>
    <row r="892" spans="2:2" x14ac:dyDescent="0.25">
      <c r="B892" s="23"/>
    </row>
    <row r="893" spans="2:2" x14ac:dyDescent="0.25">
      <c r="B893" s="23"/>
    </row>
    <row r="894" spans="2:2" x14ac:dyDescent="0.25">
      <c r="B894" s="23"/>
    </row>
    <row r="895" spans="2:2" x14ac:dyDescent="0.25">
      <c r="B895" s="23"/>
    </row>
    <row r="896" spans="2:2" x14ac:dyDescent="0.25">
      <c r="B896" s="23"/>
    </row>
    <row r="897" spans="2:2" x14ac:dyDescent="0.25">
      <c r="B897" s="23"/>
    </row>
    <row r="898" spans="2:2" x14ac:dyDescent="0.25">
      <c r="B898" s="23"/>
    </row>
    <row r="899" spans="2:2" x14ac:dyDescent="0.25">
      <c r="B899" s="23"/>
    </row>
    <row r="900" spans="2:2" x14ac:dyDescent="0.25">
      <c r="B900" s="23"/>
    </row>
    <row r="901" spans="2:2" x14ac:dyDescent="0.25">
      <c r="B901" s="23"/>
    </row>
    <row r="902" spans="2:2" x14ac:dyDescent="0.25">
      <c r="B902" s="23"/>
    </row>
    <row r="903" spans="2:2" x14ac:dyDescent="0.25">
      <c r="B903" s="23"/>
    </row>
    <row r="904" spans="2:2" x14ac:dyDescent="0.25">
      <c r="B904" s="23"/>
    </row>
    <row r="905" spans="2:2" x14ac:dyDescent="0.25">
      <c r="B905" s="23"/>
    </row>
    <row r="906" spans="2:2" x14ac:dyDescent="0.25">
      <c r="B906" s="23"/>
    </row>
    <row r="907" spans="2:2" x14ac:dyDescent="0.25">
      <c r="B907" s="23"/>
    </row>
    <row r="908" spans="2:2" x14ac:dyDescent="0.25">
      <c r="B908" s="23"/>
    </row>
    <row r="909" spans="2:2" x14ac:dyDescent="0.25">
      <c r="B909" s="23"/>
    </row>
    <row r="910" spans="2:2" x14ac:dyDescent="0.25">
      <c r="B910" s="23"/>
    </row>
    <row r="911" spans="2:2" x14ac:dyDescent="0.25">
      <c r="B911" s="23"/>
    </row>
    <row r="912" spans="2:2" x14ac:dyDescent="0.25">
      <c r="B912" s="23"/>
    </row>
    <row r="913" spans="2:2" x14ac:dyDescent="0.25">
      <c r="B913" s="23"/>
    </row>
    <row r="914" spans="2:2" x14ac:dyDescent="0.25">
      <c r="B914" s="23"/>
    </row>
    <row r="915" spans="2:2" x14ac:dyDescent="0.25">
      <c r="B915" s="23"/>
    </row>
    <row r="916" spans="2:2" x14ac:dyDescent="0.25">
      <c r="B916" s="23"/>
    </row>
    <row r="917" spans="2:2" x14ac:dyDescent="0.25">
      <c r="B917" s="23"/>
    </row>
    <row r="918" spans="2:2" x14ac:dyDescent="0.25">
      <c r="B918" s="23"/>
    </row>
    <row r="919" spans="2:2" x14ac:dyDescent="0.25">
      <c r="B919" s="23"/>
    </row>
    <row r="920" spans="2:2" x14ac:dyDescent="0.25">
      <c r="B920" s="23"/>
    </row>
    <row r="921" spans="2:2" x14ac:dyDescent="0.25">
      <c r="B921" s="23"/>
    </row>
    <row r="922" spans="2:2" x14ac:dyDescent="0.25">
      <c r="B922" s="23"/>
    </row>
    <row r="923" spans="2:2" x14ac:dyDescent="0.25">
      <c r="B923" s="23"/>
    </row>
    <row r="924" spans="2:2" x14ac:dyDescent="0.25">
      <c r="B924" s="23"/>
    </row>
    <row r="925" spans="2:2" x14ac:dyDescent="0.25">
      <c r="B925" s="23"/>
    </row>
    <row r="926" spans="2:2" x14ac:dyDescent="0.25">
      <c r="B926" s="23"/>
    </row>
    <row r="927" spans="2:2" x14ac:dyDescent="0.25">
      <c r="B927" s="23"/>
    </row>
    <row r="928" spans="2:2" x14ac:dyDescent="0.25">
      <c r="B928" s="23"/>
    </row>
    <row r="929" spans="2:2" x14ac:dyDescent="0.25">
      <c r="B929" s="23"/>
    </row>
    <row r="930" spans="2:2" x14ac:dyDescent="0.25">
      <c r="B930" s="23"/>
    </row>
    <row r="931" spans="2:2" x14ac:dyDescent="0.25">
      <c r="B931" s="23"/>
    </row>
    <row r="932" spans="2:2" x14ac:dyDescent="0.25">
      <c r="B932" s="23"/>
    </row>
    <row r="933" spans="2:2" x14ac:dyDescent="0.25">
      <c r="B933" s="23"/>
    </row>
    <row r="934" spans="2:2" x14ac:dyDescent="0.25">
      <c r="B934" s="23"/>
    </row>
    <row r="935" spans="2:2" x14ac:dyDescent="0.25">
      <c r="B935" s="23"/>
    </row>
    <row r="936" spans="2:2" x14ac:dyDescent="0.25">
      <c r="B936" s="23"/>
    </row>
    <row r="937" spans="2:2" x14ac:dyDescent="0.25">
      <c r="B937" s="23"/>
    </row>
    <row r="938" spans="2:2" x14ac:dyDescent="0.25">
      <c r="B938" s="23"/>
    </row>
    <row r="939" spans="2:2" x14ac:dyDescent="0.25">
      <c r="B939" s="23"/>
    </row>
    <row r="940" spans="2:2" x14ac:dyDescent="0.25">
      <c r="B940" s="23"/>
    </row>
    <row r="941" spans="2:2" x14ac:dyDescent="0.25">
      <c r="B941" s="23"/>
    </row>
    <row r="942" spans="2:2" x14ac:dyDescent="0.25">
      <c r="B942" s="23"/>
    </row>
    <row r="943" spans="2:2" x14ac:dyDescent="0.25">
      <c r="B943" s="23"/>
    </row>
    <row r="944" spans="2:2" x14ac:dyDescent="0.25">
      <c r="B944" s="23"/>
    </row>
    <row r="945" spans="2:2" x14ac:dyDescent="0.25">
      <c r="B945" s="23"/>
    </row>
    <row r="946" spans="2:2" x14ac:dyDescent="0.25">
      <c r="B946" s="23"/>
    </row>
    <row r="947" spans="2:2" x14ac:dyDescent="0.25">
      <c r="B947" s="23"/>
    </row>
    <row r="948" spans="2:2" x14ac:dyDescent="0.25">
      <c r="B948" s="23"/>
    </row>
    <row r="949" spans="2:2" x14ac:dyDescent="0.25">
      <c r="B949" s="23"/>
    </row>
    <row r="950" spans="2:2" x14ac:dyDescent="0.25">
      <c r="B950" s="23"/>
    </row>
    <row r="951" spans="2:2" x14ac:dyDescent="0.25">
      <c r="B951" s="23"/>
    </row>
    <row r="952" spans="2:2" x14ac:dyDescent="0.25">
      <c r="B952" s="23"/>
    </row>
    <row r="953" spans="2:2" x14ac:dyDescent="0.25">
      <c r="B953" s="23"/>
    </row>
    <row r="954" spans="2:2" x14ac:dyDescent="0.25">
      <c r="B954" s="23"/>
    </row>
    <row r="955" spans="2:2" x14ac:dyDescent="0.25">
      <c r="B955" s="23"/>
    </row>
    <row r="956" spans="2:2" x14ac:dyDescent="0.25">
      <c r="B956" s="23"/>
    </row>
    <row r="957" spans="2:2" x14ac:dyDescent="0.25">
      <c r="B957" s="23"/>
    </row>
    <row r="958" spans="2:2" x14ac:dyDescent="0.25">
      <c r="B958" s="23"/>
    </row>
    <row r="959" spans="2:2" x14ac:dyDescent="0.25">
      <c r="B959" s="23"/>
    </row>
    <row r="960" spans="2:2" x14ac:dyDescent="0.25">
      <c r="B960" s="23"/>
    </row>
    <row r="961" spans="2:2" x14ac:dyDescent="0.25">
      <c r="B961" s="23"/>
    </row>
    <row r="962" spans="2:2" x14ac:dyDescent="0.25">
      <c r="B962" s="23"/>
    </row>
    <row r="963" spans="2:2" x14ac:dyDescent="0.25">
      <c r="B963" s="23"/>
    </row>
    <row r="964" spans="2:2" x14ac:dyDescent="0.25">
      <c r="B964" s="23"/>
    </row>
    <row r="965" spans="2:2" x14ac:dyDescent="0.25">
      <c r="B965" s="23"/>
    </row>
    <row r="966" spans="2:2" x14ac:dyDescent="0.25">
      <c r="B966" s="23"/>
    </row>
    <row r="967" spans="2:2" x14ac:dyDescent="0.25">
      <c r="B967" s="23"/>
    </row>
    <row r="968" spans="2:2" x14ac:dyDescent="0.25">
      <c r="B968" s="23"/>
    </row>
    <row r="969" spans="2:2" x14ac:dyDescent="0.25">
      <c r="B969" s="23"/>
    </row>
    <row r="970" spans="2:2" x14ac:dyDescent="0.25">
      <c r="B970" s="23"/>
    </row>
    <row r="971" spans="2:2" x14ac:dyDescent="0.25">
      <c r="B971" s="23"/>
    </row>
    <row r="972" spans="2:2" x14ac:dyDescent="0.25">
      <c r="B972" s="23"/>
    </row>
    <row r="973" spans="2:2" x14ac:dyDescent="0.25">
      <c r="B973" s="23"/>
    </row>
    <row r="974" spans="2:2" x14ac:dyDescent="0.25">
      <c r="B974" s="23"/>
    </row>
    <row r="975" spans="2:2" x14ac:dyDescent="0.25">
      <c r="B975" s="23"/>
    </row>
    <row r="976" spans="2:2" x14ac:dyDescent="0.25">
      <c r="B976" s="23"/>
    </row>
    <row r="977" spans="2:2" x14ac:dyDescent="0.25">
      <c r="B977" s="23"/>
    </row>
    <row r="978" spans="2:2" x14ac:dyDescent="0.25">
      <c r="B978" s="23"/>
    </row>
    <row r="979" spans="2:2" x14ac:dyDescent="0.25">
      <c r="B979" s="23"/>
    </row>
    <row r="980" spans="2:2" x14ac:dyDescent="0.25">
      <c r="B980" s="23"/>
    </row>
    <row r="981" spans="2:2" x14ac:dyDescent="0.25">
      <c r="B981" s="23"/>
    </row>
    <row r="982" spans="2:2" x14ac:dyDescent="0.25">
      <c r="B982" s="23"/>
    </row>
    <row r="983" spans="2:2" x14ac:dyDescent="0.25">
      <c r="B983" s="23"/>
    </row>
    <row r="984" spans="2:2" x14ac:dyDescent="0.25">
      <c r="B984" s="23"/>
    </row>
    <row r="985" spans="2:2" x14ac:dyDescent="0.25">
      <c r="B985" s="23"/>
    </row>
    <row r="986" spans="2:2" x14ac:dyDescent="0.25">
      <c r="B986" s="23"/>
    </row>
    <row r="987" spans="2:2" x14ac:dyDescent="0.25">
      <c r="B987" s="23"/>
    </row>
    <row r="988" spans="2:2" x14ac:dyDescent="0.25">
      <c r="B988" s="23"/>
    </row>
    <row r="989" spans="2:2" x14ac:dyDescent="0.25">
      <c r="B989" s="23"/>
    </row>
    <row r="990" spans="2:2" x14ac:dyDescent="0.25">
      <c r="B990" s="23"/>
    </row>
    <row r="991" spans="2:2" x14ac:dyDescent="0.25">
      <c r="B991" s="23"/>
    </row>
    <row r="992" spans="2:2" x14ac:dyDescent="0.25">
      <c r="B992" s="23"/>
    </row>
    <row r="993" spans="2:2" x14ac:dyDescent="0.25">
      <c r="B993" s="23"/>
    </row>
    <row r="994" spans="2:2" x14ac:dyDescent="0.25">
      <c r="B994" s="23"/>
    </row>
    <row r="995" spans="2:2" x14ac:dyDescent="0.25">
      <c r="B995" s="23"/>
    </row>
    <row r="996" spans="2:2" x14ac:dyDescent="0.25">
      <c r="B996" s="23"/>
    </row>
    <row r="997" spans="2:2" x14ac:dyDescent="0.25">
      <c r="B997" s="23"/>
    </row>
    <row r="998" spans="2:2" x14ac:dyDescent="0.25">
      <c r="B998" s="23"/>
    </row>
    <row r="999" spans="2:2" x14ac:dyDescent="0.25">
      <c r="B999" s="23"/>
    </row>
    <row r="1000" spans="2:2" x14ac:dyDescent="0.25">
      <c r="B1000" s="23"/>
    </row>
    <row r="1001" spans="2:2" x14ac:dyDescent="0.25">
      <c r="B1001" s="23"/>
    </row>
    <row r="1002" spans="2:2" x14ac:dyDescent="0.25">
      <c r="B1002" s="23"/>
    </row>
    <row r="1003" spans="2:2" x14ac:dyDescent="0.25">
      <c r="B1003" s="23"/>
    </row>
    <row r="1004" spans="2:2" x14ac:dyDescent="0.25">
      <c r="B1004" s="23"/>
    </row>
    <row r="1005" spans="2:2" x14ac:dyDescent="0.25">
      <c r="B1005" s="23"/>
    </row>
    <row r="1006" spans="2:2" x14ac:dyDescent="0.25">
      <c r="B1006" s="23"/>
    </row>
    <row r="1007" spans="2:2" x14ac:dyDescent="0.25">
      <c r="B1007" s="23"/>
    </row>
    <row r="1008" spans="2:2" x14ac:dyDescent="0.25">
      <c r="B1008" s="23"/>
    </row>
    <row r="1009" spans="2:2" x14ac:dyDescent="0.25">
      <c r="B1009" s="23"/>
    </row>
    <row r="1010" spans="2:2" x14ac:dyDescent="0.25">
      <c r="B1010" s="23"/>
    </row>
    <row r="1011" spans="2:2" x14ac:dyDescent="0.25">
      <c r="B1011" s="23"/>
    </row>
    <row r="1012" spans="2:2" x14ac:dyDescent="0.25">
      <c r="B1012" s="23"/>
    </row>
    <row r="1013" spans="2:2" x14ac:dyDescent="0.25">
      <c r="B1013" s="23"/>
    </row>
    <row r="1014" spans="2:2" x14ac:dyDescent="0.25">
      <c r="B1014" s="23"/>
    </row>
    <row r="1015" spans="2:2" x14ac:dyDescent="0.25">
      <c r="B1015" s="23"/>
    </row>
    <row r="1016" spans="2:2" x14ac:dyDescent="0.25">
      <c r="B1016" s="23"/>
    </row>
    <row r="1017" spans="2:2" x14ac:dyDescent="0.25">
      <c r="B1017" s="23"/>
    </row>
    <row r="1018" spans="2:2" x14ac:dyDescent="0.25">
      <c r="B1018" s="23"/>
    </row>
    <row r="1019" spans="2:2" x14ac:dyDescent="0.25">
      <c r="B1019" s="23"/>
    </row>
    <row r="1020" spans="2:2" x14ac:dyDescent="0.25">
      <c r="B1020" s="23"/>
    </row>
    <row r="1021" spans="2:2" x14ac:dyDescent="0.25">
      <c r="B1021" s="23"/>
    </row>
    <row r="1022" spans="2:2" x14ac:dyDescent="0.25">
      <c r="B1022" s="23"/>
    </row>
    <row r="1023" spans="2:2" x14ac:dyDescent="0.25">
      <c r="B1023" s="23"/>
    </row>
    <row r="1024" spans="2:2" x14ac:dyDescent="0.25">
      <c r="B1024" s="23"/>
    </row>
    <row r="1025" spans="2:2" x14ac:dyDescent="0.25">
      <c r="B1025" s="23"/>
    </row>
    <row r="1026" spans="2:2" x14ac:dyDescent="0.25">
      <c r="B1026" s="23"/>
    </row>
    <row r="1027" spans="2:2" x14ac:dyDescent="0.25">
      <c r="B1027" s="23"/>
    </row>
    <row r="1028" spans="2:2" x14ac:dyDescent="0.25">
      <c r="B1028" s="23"/>
    </row>
    <row r="1029" spans="2:2" x14ac:dyDescent="0.25">
      <c r="B1029" s="23"/>
    </row>
    <row r="1030" spans="2:2" x14ac:dyDescent="0.25">
      <c r="B1030" s="23"/>
    </row>
    <row r="1031" spans="2:2" x14ac:dyDescent="0.25">
      <c r="B1031" s="23"/>
    </row>
    <row r="1032" spans="2:2" x14ac:dyDescent="0.25">
      <c r="B1032" s="23"/>
    </row>
    <row r="1033" spans="2:2" x14ac:dyDescent="0.25">
      <c r="B1033" s="23"/>
    </row>
    <row r="1034" spans="2:2" x14ac:dyDescent="0.25">
      <c r="B1034" s="23"/>
    </row>
    <row r="1035" spans="2:2" x14ac:dyDescent="0.25">
      <c r="B1035" s="23"/>
    </row>
    <row r="1036" spans="2:2" x14ac:dyDescent="0.25">
      <c r="B1036" s="23"/>
    </row>
    <row r="1037" spans="2:2" x14ac:dyDescent="0.25">
      <c r="B1037" s="23"/>
    </row>
    <row r="1038" spans="2:2" x14ac:dyDescent="0.25">
      <c r="B1038" s="23"/>
    </row>
    <row r="1039" spans="2:2" x14ac:dyDescent="0.25">
      <c r="B1039" s="23"/>
    </row>
    <row r="1040" spans="2:2" x14ac:dyDescent="0.25">
      <c r="B1040" s="23"/>
    </row>
    <row r="1041" spans="2:2" x14ac:dyDescent="0.25">
      <c r="B1041" s="23"/>
    </row>
    <row r="1042" spans="2:2" x14ac:dyDescent="0.25">
      <c r="B1042" s="23"/>
    </row>
    <row r="1043" spans="2:2" x14ac:dyDescent="0.25">
      <c r="B1043" s="23"/>
    </row>
    <row r="1044" spans="2:2" x14ac:dyDescent="0.25">
      <c r="B1044" s="23"/>
    </row>
    <row r="1045" spans="2:2" x14ac:dyDescent="0.25">
      <c r="B1045" s="23"/>
    </row>
    <row r="1046" spans="2:2" x14ac:dyDescent="0.25">
      <c r="B1046" s="23"/>
    </row>
    <row r="1047" spans="2:2" x14ac:dyDescent="0.25">
      <c r="B1047" s="23"/>
    </row>
    <row r="1048" spans="2:2" x14ac:dyDescent="0.25">
      <c r="B1048" s="23"/>
    </row>
    <row r="1049" spans="2:2" x14ac:dyDescent="0.25">
      <c r="B1049" s="23"/>
    </row>
    <row r="1050" spans="2:2" x14ac:dyDescent="0.25">
      <c r="B1050" s="23"/>
    </row>
    <row r="1051" spans="2:2" x14ac:dyDescent="0.25">
      <c r="B1051" s="23"/>
    </row>
    <row r="1052" spans="2:2" x14ac:dyDescent="0.25">
      <c r="B1052" s="23"/>
    </row>
    <row r="1053" spans="2:2" x14ac:dyDescent="0.25">
      <c r="B1053" s="23"/>
    </row>
    <row r="1054" spans="2:2" x14ac:dyDescent="0.25">
      <c r="B1054" s="23"/>
    </row>
    <row r="1055" spans="2:2" x14ac:dyDescent="0.25">
      <c r="B1055" s="23"/>
    </row>
    <row r="1056" spans="2:2" x14ac:dyDescent="0.25">
      <c r="B1056" s="23"/>
    </row>
    <row r="1057" spans="2:2" x14ac:dyDescent="0.25">
      <c r="B1057" s="23"/>
    </row>
    <row r="1058" spans="2:2" x14ac:dyDescent="0.25">
      <c r="B1058" s="23"/>
    </row>
    <row r="1059" spans="2:2" x14ac:dyDescent="0.25">
      <c r="B1059" s="23"/>
    </row>
    <row r="1060" spans="2:2" x14ac:dyDescent="0.25">
      <c r="B1060" s="23"/>
    </row>
    <row r="1061" spans="2:2" x14ac:dyDescent="0.25">
      <c r="B1061" s="23"/>
    </row>
    <row r="1062" spans="2:2" x14ac:dyDescent="0.25">
      <c r="B1062" s="23"/>
    </row>
    <row r="1063" spans="2:2" x14ac:dyDescent="0.25">
      <c r="B1063" s="23"/>
    </row>
    <row r="1064" spans="2:2" x14ac:dyDescent="0.25">
      <c r="B1064" s="23"/>
    </row>
    <row r="1065" spans="2:2" x14ac:dyDescent="0.25">
      <c r="B1065" s="23"/>
    </row>
    <row r="1066" spans="2:2" x14ac:dyDescent="0.25">
      <c r="B1066" s="23"/>
    </row>
    <row r="1067" spans="2:2" x14ac:dyDescent="0.25">
      <c r="B1067" s="23"/>
    </row>
    <row r="1068" spans="2:2" x14ac:dyDescent="0.25">
      <c r="B1068" s="23"/>
    </row>
    <row r="1069" spans="2:2" x14ac:dyDescent="0.25">
      <c r="B1069" s="23"/>
    </row>
    <row r="1070" spans="2:2" x14ac:dyDescent="0.25">
      <c r="B1070" s="23"/>
    </row>
    <row r="1071" spans="2:2" x14ac:dyDescent="0.25">
      <c r="B1071" s="23"/>
    </row>
    <row r="1072" spans="2:2" x14ac:dyDescent="0.25">
      <c r="B1072" s="23"/>
    </row>
    <row r="1073" spans="2:2" x14ac:dyDescent="0.25">
      <c r="B1073" s="23"/>
    </row>
    <row r="1074" spans="2:2" x14ac:dyDescent="0.25">
      <c r="B1074" s="23"/>
    </row>
    <row r="1075" spans="2:2" x14ac:dyDescent="0.25">
      <c r="B1075" s="23"/>
    </row>
    <row r="1076" spans="2:2" x14ac:dyDescent="0.25">
      <c r="B1076" s="23"/>
    </row>
    <row r="1077" spans="2:2" x14ac:dyDescent="0.25">
      <c r="B1077" s="23"/>
    </row>
    <row r="1078" spans="2:2" x14ac:dyDescent="0.25">
      <c r="B1078" s="23"/>
    </row>
    <row r="1079" spans="2:2" x14ac:dyDescent="0.25">
      <c r="B1079" s="23"/>
    </row>
    <row r="1080" spans="2:2" x14ac:dyDescent="0.25">
      <c r="B1080" s="23"/>
    </row>
    <row r="1081" spans="2:2" x14ac:dyDescent="0.25">
      <c r="B1081" s="23"/>
    </row>
    <row r="1082" spans="2:2" x14ac:dyDescent="0.25">
      <c r="B1082" s="23"/>
    </row>
    <row r="1083" spans="2:2" x14ac:dyDescent="0.25">
      <c r="B1083" s="23"/>
    </row>
    <row r="1084" spans="2:2" x14ac:dyDescent="0.25">
      <c r="B1084" s="23"/>
    </row>
    <row r="1085" spans="2:2" x14ac:dyDescent="0.25">
      <c r="B1085" s="23"/>
    </row>
    <row r="1086" spans="2:2" x14ac:dyDescent="0.25">
      <c r="B1086" s="23"/>
    </row>
    <row r="1087" spans="2:2" x14ac:dyDescent="0.25">
      <c r="B1087" s="23"/>
    </row>
    <row r="1088" spans="2:2" x14ac:dyDescent="0.25">
      <c r="B1088" s="23"/>
    </row>
    <row r="1089" spans="2:2" x14ac:dyDescent="0.25">
      <c r="B1089" s="23"/>
    </row>
    <row r="1090" spans="2:2" x14ac:dyDescent="0.25">
      <c r="B1090" s="23"/>
    </row>
    <row r="1091" spans="2:2" x14ac:dyDescent="0.25">
      <c r="B1091" s="23"/>
    </row>
    <row r="1092" spans="2:2" x14ac:dyDescent="0.25">
      <c r="B1092" s="23"/>
    </row>
    <row r="1093" spans="2:2" x14ac:dyDescent="0.25">
      <c r="B1093" s="23"/>
    </row>
    <row r="1094" spans="2:2" x14ac:dyDescent="0.25">
      <c r="B1094" s="23"/>
    </row>
    <row r="1095" spans="2:2" x14ac:dyDescent="0.25">
      <c r="B1095" s="23"/>
    </row>
    <row r="1096" spans="2:2" x14ac:dyDescent="0.25">
      <c r="B1096" s="23"/>
    </row>
    <row r="1097" spans="2:2" x14ac:dyDescent="0.25">
      <c r="B1097" s="23"/>
    </row>
    <row r="1098" spans="2:2" x14ac:dyDescent="0.25">
      <c r="B1098" s="23"/>
    </row>
    <row r="1099" spans="2:2" x14ac:dyDescent="0.25">
      <c r="B1099" s="23"/>
    </row>
    <row r="1100" spans="2:2" x14ac:dyDescent="0.25">
      <c r="B1100" s="23"/>
    </row>
    <row r="1101" spans="2:2" x14ac:dyDescent="0.25">
      <c r="B1101" s="23"/>
    </row>
    <row r="1102" spans="2:2" x14ac:dyDescent="0.25">
      <c r="B1102" s="23"/>
    </row>
    <row r="1103" spans="2:2" x14ac:dyDescent="0.25">
      <c r="B1103" s="23"/>
    </row>
    <row r="1104" spans="2:2" x14ac:dyDescent="0.25">
      <c r="B1104" s="23"/>
    </row>
    <row r="1105" spans="2:2" x14ac:dyDescent="0.25">
      <c r="B1105" s="23"/>
    </row>
    <row r="1106" spans="2:2" x14ac:dyDescent="0.25">
      <c r="B1106" s="23"/>
    </row>
    <row r="1107" spans="2:2" x14ac:dyDescent="0.25">
      <c r="B1107" s="23"/>
    </row>
    <row r="1108" spans="2:2" x14ac:dyDescent="0.25">
      <c r="B1108" s="23"/>
    </row>
    <row r="1109" spans="2:2" x14ac:dyDescent="0.25">
      <c r="B1109" s="23"/>
    </row>
    <row r="1110" spans="2:2" x14ac:dyDescent="0.25">
      <c r="B1110" s="23"/>
    </row>
    <row r="1111" spans="2:2" x14ac:dyDescent="0.25">
      <c r="B1111" s="23"/>
    </row>
    <row r="1112" spans="2:2" x14ac:dyDescent="0.25">
      <c r="B1112" s="23"/>
    </row>
    <row r="1113" spans="2:2" x14ac:dyDescent="0.25">
      <c r="B1113" s="23"/>
    </row>
    <row r="1114" spans="2:2" x14ac:dyDescent="0.25">
      <c r="B1114" s="23"/>
    </row>
    <row r="1115" spans="2:2" x14ac:dyDescent="0.25">
      <c r="B1115" s="23"/>
    </row>
    <row r="1116" spans="2:2" x14ac:dyDescent="0.25">
      <c r="B1116" s="23"/>
    </row>
    <row r="1117" spans="2:2" x14ac:dyDescent="0.25">
      <c r="B1117" s="23"/>
    </row>
    <row r="1118" spans="2:2" x14ac:dyDescent="0.25">
      <c r="B1118" s="23"/>
    </row>
    <row r="1119" spans="2:2" x14ac:dyDescent="0.25">
      <c r="B1119" s="23"/>
    </row>
    <row r="1120" spans="2:2" x14ac:dyDescent="0.25">
      <c r="B1120" s="23"/>
    </row>
    <row r="1121" spans="2:2" x14ac:dyDescent="0.25">
      <c r="B1121" s="23"/>
    </row>
    <row r="1122" spans="2:2" x14ac:dyDescent="0.25">
      <c r="B1122" s="23"/>
    </row>
    <row r="1123" spans="2:2" x14ac:dyDescent="0.25">
      <c r="B1123" s="23"/>
    </row>
    <row r="1124" spans="2:2" x14ac:dyDescent="0.25">
      <c r="B1124" s="23"/>
    </row>
    <row r="1125" spans="2:2" x14ac:dyDescent="0.25">
      <c r="B1125" s="23"/>
    </row>
    <row r="1126" spans="2:2" x14ac:dyDescent="0.25">
      <c r="B1126" s="23"/>
    </row>
    <row r="1127" spans="2:2" x14ac:dyDescent="0.25">
      <c r="B1127" s="23"/>
    </row>
    <row r="1128" spans="2:2" x14ac:dyDescent="0.25">
      <c r="B1128" s="23"/>
    </row>
    <row r="1129" spans="2:2" x14ac:dyDescent="0.25">
      <c r="B1129" s="23"/>
    </row>
    <row r="1130" spans="2:2" x14ac:dyDescent="0.25">
      <c r="B1130" s="23"/>
    </row>
    <row r="1131" spans="2:2" x14ac:dyDescent="0.25">
      <c r="B1131" s="23"/>
    </row>
    <row r="1132" spans="2:2" x14ac:dyDescent="0.25">
      <c r="B1132" s="23"/>
    </row>
    <row r="1133" spans="2:2" x14ac:dyDescent="0.25">
      <c r="B1133" s="23"/>
    </row>
    <row r="1134" spans="2:2" x14ac:dyDescent="0.25">
      <c r="B1134" s="23"/>
    </row>
    <row r="1135" spans="2:2" x14ac:dyDescent="0.25">
      <c r="B1135" s="23"/>
    </row>
    <row r="1136" spans="2:2" x14ac:dyDescent="0.25">
      <c r="B1136" s="23"/>
    </row>
    <row r="1137" spans="2:2" x14ac:dyDescent="0.25">
      <c r="B1137" s="23"/>
    </row>
    <row r="1138" spans="2:2" x14ac:dyDescent="0.25">
      <c r="B1138" s="23"/>
    </row>
    <row r="1139" spans="2:2" x14ac:dyDescent="0.25">
      <c r="B1139" s="23"/>
    </row>
    <row r="1140" spans="2:2" x14ac:dyDescent="0.25">
      <c r="B1140" s="23"/>
    </row>
    <row r="1141" spans="2:2" x14ac:dyDescent="0.25">
      <c r="B1141" s="23"/>
    </row>
    <row r="1142" spans="2:2" x14ac:dyDescent="0.25">
      <c r="B1142" s="23"/>
    </row>
    <row r="1143" spans="2:2" x14ac:dyDescent="0.25">
      <c r="B1143" s="23"/>
    </row>
    <row r="1144" spans="2:2" x14ac:dyDescent="0.25">
      <c r="B1144" s="23"/>
    </row>
    <row r="1145" spans="2:2" x14ac:dyDescent="0.25">
      <c r="B1145" s="23"/>
    </row>
    <row r="1146" spans="2:2" x14ac:dyDescent="0.25">
      <c r="B1146" s="23"/>
    </row>
    <row r="1147" spans="2:2" x14ac:dyDescent="0.25">
      <c r="B1147" s="23"/>
    </row>
    <row r="1148" spans="2:2" x14ac:dyDescent="0.25">
      <c r="B1148" s="23"/>
    </row>
    <row r="1149" spans="2:2" x14ac:dyDescent="0.25">
      <c r="B1149" s="23"/>
    </row>
    <row r="1150" spans="2:2" x14ac:dyDescent="0.25">
      <c r="B1150" s="23"/>
    </row>
    <row r="1151" spans="2:2" x14ac:dyDescent="0.25">
      <c r="B1151" s="23"/>
    </row>
    <row r="1152" spans="2:2" x14ac:dyDescent="0.25">
      <c r="B1152" s="23"/>
    </row>
    <row r="1153" spans="2:2" x14ac:dyDescent="0.25">
      <c r="B1153" s="23"/>
    </row>
    <row r="1154" spans="2:2" x14ac:dyDescent="0.25">
      <c r="B1154" s="23"/>
    </row>
    <row r="1155" spans="2:2" x14ac:dyDescent="0.25">
      <c r="B1155" s="23"/>
    </row>
    <row r="1156" spans="2:2" x14ac:dyDescent="0.25">
      <c r="B1156" s="23"/>
    </row>
    <row r="1157" spans="2:2" x14ac:dyDescent="0.25">
      <c r="B1157" s="23"/>
    </row>
    <row r="1158" spans="2:2" x14ac:dyDescent="0.25">
      <c r="B1158" s="23"/>
    </row>
    <row r="1159" spans="2:2" x14ac:dyDescent="0.25">
      <c r="B1159" s="23"/>
    </row>
    <row r="1160" spans="2:2" x14ac:dyDescent="0.25">
      <c r="B1160" s="23"/>
    </row>
    <row r="1161" spans="2:2" x14ac:dyDescent="0.25">
      <c r="B1161" s="23"/>
    </row>
    <row r="1162" spans="2:2" x14ac:dyDescent="0.25">
      <c r="B1162" s="23"/>
    </row>
    <row r="1163" spans="2:2" x14ac:dyDescent="0.25">
      <c r="B1163" s="23"/>
    </row>
    <row r="1164" spans="2:2" x14ac:dyDescent="0.25">
      <c r="B1164" s="23"/>
    </row>
    <row r="1165" spans="2:2" x14ac:dyDescent="0.25">
      <c r="B1165" s="23"/>
    </row>
    <row r="1166" spans="2:2" x14ac:dyDescent="0.25">
      <c r="B1166" s="23"/>
    </row>
    <row r="1167" spans="2:2" x14ac:dyDescent="0.25">
      <c r="B1167" s="23"/>
    </row>
    <row r="1168" spans="2:2" x14ac:dyDescent="0.25">
      <c r="B1168" s="23"/>
    </row>
    <row r="1169" spans="2:2" x14ac:dyDescent="0.25">
      <c r="B1169" s="23"/>
    </row>
    <row r="1170" spans="2:2" x14ac:dyDescent="0.25">
      <c r="B1170" s="23"/>
    </row>
    <row r="1171" spans="2:2" x14ac:dyDescent="0.25">
      <c r="B1171" s="23"/>
    </row>
    <row r="1172" spans="2:2" x14ac:dyDescent="0.25">
      <c r="B1172" s="23"/>
    </row>
    <row r="1173" spans="2:2" x14ac:dyDescent="0.25">
      <c r="B1173" s="23"/>
    </row>
    <row r="1174" spans="2:2" x14ac:dyDescent="0.25">
      <c r="B1174" s="23"/>
    </row>
    <row r="1175" spans="2:2" x14ac:dyDescent="0.25">
      <c r="B1175" s="23"/>
    </row>
    <row r="1176" spans="2:2" x14ac:dyDescent="0.25">
      <c r="B1176" s="23"/>
    </row>
    <row r="1177" spans="2:2" x14ac:dyDescent="0.25">
      <c r="B1177" s="23"/>
    </row>
    <row r="1178" spans="2:2" x14ac:dyDescent="0.25">
      <c r="B1178" s="23"/>
    </row>
    <row r="1179" spans="2:2" x14ac:dyDescent="0.25">
      <c r="B1179" s="23"/>
    </row>
    <row r="1180" spans="2:2" x14ac:dyDescent="0.25">
      <c r="B1180" s="23"/>
    </row>
    <row r="1181" spans="2:2" x14ac:dyDescent="0.25">
      <c r="B1181" s="23"/>
    </row>
    <row r="1182" spans="2:2" x14ac:dyDescent="0.25">
      <c r="B1182" s="23"/>
    </row>
    <row r="1183" spans="2:2" x14ac:dyDescent="0.25">
      <c r="B1183" s="23"/>
    </row>
    <row r="1184" spans="2:2" x14ac:dyDescent="0.25">
      <c r="B1184" s="23"/>
    </row>
    <row r="1185" spans="2:2" x14ac:dyDescent="0.25">
      <c r="B1185" s="23"/>
    </row>
    <row r="1186" spans="2:2" x14ac:dyDescent="0.25">
      <c r="B1186" s="23"/>
    </row>
    <row r="1187" spans="2:2" x14ac:dyDescent="0.25">
      <c r="B1187" s="23"/>
    </row>
    <row r="1188" spans="2:2" x14ac:dyDescent="0.25">
      <c r="B1188" s="23"/>
    </row>
    <row r="1189" spans="2:2" x14ac:dyDescent="0.25">
      <c r="B1189" s="23"/>
    </row>
    <row r="1190" spans="2:2" x14ac:dyDescent="0.25">
      <c r="B1190" s="23"/>
    </row>
    <row r="1191" spans="2:2" x14ac:dyDescent="0.25">
      <c r="B1191" s="23"/>
    </row>
    <row r="1192" spans="2:2" x14ac:dyDescent="0.25">
      <c r="B1192" s="23"/>
    </row>
    <row r="1193" spans="2:2" x14ac:dyDescent="0.25">
      <c r="B1193" s="23"/>
    </row>
    <row r="1194" spans="2:2" x14ac:dyDescent="0.25">
      <c r="B1194" s="23"/>
    </row>
    <row r="1195" spans="2:2" x14ac:dyDescent="0.25">
      <c r="B1195" s="23"/>
    </row>
    <row r="1196" spans="2:2" x14ac:dyDescent="0.25">
      <c r="B1196" s="23"/>
    </row>
    <row r="1197" spans="2:2" x14ac:dyDescent="0.25">
      <c r="B1197" s="23"/>
    </row>
    <row r="1198" spans="2:2" x14ac:dyDescent="0.25">
      <c r="B1198" s="23"/>
    </row>
    <row r="1199" spans="2:2" x14ac:dyDescent="0.25">
      <c r="B1199" s="23"/>
    </row>
    <row r="1200" spans="2:2" x14ac:dyDescent="0.25">
      <c r="B1200" s="23"/>
    </row>
    <row r="1201" spans="2:2" x14ac:dyDescent="0.25">
      <c r="B1201" s="23"/>
    </row>
    <row r="1202" spans="2:2" x14ac:dyDescent="0.25">
      <c r="B1202" s="23"/>
    </row>
    <row r="1203" spans="2:2" x14ac:dyDescent="0.25">
      <c r="B1203" s="23"/>
    </row>
    <row r="1204" spans="2:2" x14ac:dyDescent="0.25">
      <c r="B1204" s="23"/>
    </row>
    <row r="1205" spans="2:2" x14ac:dyDescent="0.25">
      <c r="B1205" s="23"/>
    </row>
    <row r="1206" spans="2:2" x14ac:dyDescent="0.25">
      <c r="B1206" s="23"/>
    </row>
    <row r="1207" spans="2:2" x14ac:dyDescent="0.25">
      <c r="B1207" s="23"/>
    </row>
    <row r="1208" spans="2:2" x14ac:dyDescent="0.25">
      <c r="B1208" s="23"/>
    </row>
    <row r="1209" spans="2:2" x14ac:dyDescent="0.25">
      <c r="B1209" s="23"/>
    </row>
    <row r="1210" spans="2:2" x14ac:dyDescent="0.25">
      <c r="B1210" s="23"/>
    </row>
    <row r="1211" spans="2:2" x14ac:dyDescent="0.25">
      <c r="B1211" s="23"/>
    </row>
    <row r="1212" spans="2:2" x14ac:dyDescent="0.25">
      <c r="B1212" s="23"/>
    </row>
    <row r="1213" spans="2:2" x14ac:dyDescent="0.25">
      <c r="B1213" s="23"/>
    </row>
    <row r="1214" spans="2:2" x14ac:dyDescent="0.25">
      <c r="B1214" s="23"/>
    </row>
    <row r="1215" spans="2:2" x14ac:dyDescent="0.25">
      <c r="B1215" s="23"/>
    </row>
    <row r="1216" spans="2:2" x14ac:dyDescent="0.25">
      <c r="B1216" s="23"/>
    </row>
    <row r="1217" spans="2:2" x14ac:dyDescent="0.25">
      <c r="B1217" s="23"/>
    </row>
    <row r="1218" spans="2:2" x14ac:dyDescent="0.25">
      <c r="B1218" s="23"/>
    </row>
    <row r="1219" spans="2:2" x14ac:dyDescent="0.25">
      <c r="B1219" s="23"/>
    </row>
    <row r="1220" spans="2:2" x14ac:dyDescent="0.25">
      <c r="B1220" s="23"/>
    </row>
    <row r="1221" spans="2:2" x14ac:dyDescent="0.25">
      <c r="B1221" s="23"/>
    </row>
    <row r="1222" spans="2:2" x14ac:dyDescent="0.25">
      <c r="B1222" s="23"/>
    </row>
    <row r="1223" spans="2:2" x14ac:dyDescent="0.25">
      <c r="B1223" s="23"/>
    </row>
    <row r="1224" spans="2:2" x14ac:dyDescent="0.25">
      <c r="B1224" s="23"/>
    </row>
    <row r="1225" spans="2:2" x14ac:dyDescent="0.25">
      <c r="B1225" s="23"/>
    </row>
    <row r="1226" spans="2:2" x14ac:dyDescent="0.25">
      <c r="B1226" s="23"/>
    </row>
    <row r="1227" spans="2:2" x14ac:dyDescent="0.25">
      <c r="B1227" s="23"/>
    </row>
    <row r="1228" spans="2:2" x14ac:dyDescent="0.25">
      <c r="B1228" s="23"/>
    </row>
    <row r="1229" spans="2:2" x14ac:dyDescent="0.25">
      <c r="B1229" s="23"/>
    </row>
    <row r="1230" spans="2:2" x14ac:dyDescent="0.25">
      <c r="B1230" s="23"/>
    </row>
    <row r="1231" spans="2:2" x14ac:dyDescent="0.25">
      <c r="B1231" s="23"/>
    </row>
    <row r="1232" spans="2:2" x14ac:dyDescent="0.25">
      <c r="B1232" s="23"/>
    </row>
    <row r="1233" spans="2:2" x14ac:dyDescent="0.25">
      <c r="B1233" s="23"/>
    </row>
    <row r="1234" spans="2:2" x14ac:dyDescent="0.25">
      <c r="B1234" s="23"/>
    </row>
    <row r="1235" spans="2:2" x14ac:dyDescent="0.25">
      <c r="B1235" s="23"/>
    </row>
    <row r="1236" spans="2:2" x14ac:dyDescent="0.25">
      <c r="B1236" s="23"/>
    </row>
    <row r="1237" spans="2:2" x14ac:dyDescent="0.25">
      <c r="B1237" s="23"/>
    </row>
    <row r="1238" spans="2:2" x14ac:dyDescent="0.25">
      <c r="B1238" s="23"/>
    </row>
    <row r="1239" spans="2:2" x14ac:dyDescent="0.25">
      <c r="B1239" s="23"/>
    </row>
    <row r="1240" spans="2:2" x14ac:dyDescent="0.25">
      <c r="B1240" s="23"/>
    </row>
    <row r="1241" spans="2:2" x14ac:dyDescent="0.25">
      <c r="B1241" s="23"/>
    </row>
    <row r="1242" spans="2:2" x14ac:dyDescent="0.25">
      <c r="B1242" s="23"/>
    </row>
    <row r="1243" spans="2:2" x14ac:dyDescent="0.25">
      <c r="B1243" s="23"/>
    </row>
    <row r="1244" spans="2:2" x14ac:dyDescent="0.25">
      <c r="B1244" s="23"/>
    </row>
    <row r="1245" spans="2:2" x14ac:dyDescent="0.25">
      <c r="B1245" s="23"/>
    </row>
    <row r="1246" spans="2:2" x14ac:dyDescent="0.25">
      <c r="B1246" s="23"/>
    </row>
    <row r="1247" spans="2:2" x14ac:dyDescent="0.25">
      <c r="B1247" s="23"/>
    </row>
    <row r="1248" spans="2:2" x14ac:dyDescent="0.25">
      <c r="B1248" s="23"/>
    </row>
    <row r="1249" spans="2:2" x14ac:dyDescent="0.25">
      <c r="B1249" s="23"/>
    </row>
    <row r="1250" spans="2:2" x14ac:dyDescent="0.25">
      <c r="B1250" s="23"/>
    </row>
    <row r="1251" spans="2:2" x14ac:dyDescent="0.25">
      <c r="B1251" s="23"/>
    </row>
    <row r="1252" spans="2:2" x14ac:dyDescent="0.25">
      <c r="B1252" s="23"/>
    </row>
    <row r="1253" spans="2:2" x14ac:dyDescent="0.25">
      <c r="B1253" s="23"/>
    </row>
    <row r="1254" spans="2:2" x14ac:dyDescent="0.25">
      <c r="B1254" s="23"/>
    </row>
    <row r="1255" spans="2:2" x14ac:dyDescent="0.25">
      <c r="B1255" s="23"/>
    </row>
    <row r="1256" spans="2:2" x14ac:dyDescent="0.25">
      <c r="B1256" s="23"/>
    </row>
    <row r="1257" spans="2:2" x14ac:dyDescent="0.25">
      <c r="B1257" s="23"/>
    </row>
    <row r="1258" spans="2:2" x14ac:dyDescent="0.25">
      <c r="B1258" s="23"/>
    </row>
    <row r="1259" spans="2:2" x14ac:dyDescent="0.25">
      <c r="B1259" s="23"/>
    </row>
    <row r="1260" spans="2:2" x14ac:dyDescent="0.25">
      <c r="B1260" s="23"/>
    </row>
    <row r="1261" spans="2:2" x14ac:dyDescent="0.25">
      <c r="B1261" s="23"/>
    </row>
    <row r="1262" spans="2:2" x14ac:dyDescent="0.25">
      <c r="B1262" s="23"/>
    </row>
    <row r="1263" spans="2:2" x14ac:dyDescent="0.25">
      <c r="B1263" s="23"/>
    </row>
    <row r="1264" spans="2:2" x14ac:dyDescent="0.25">
      <c r="B1264" s="23"/>
    </row>
    <row r="1265" spans="2:2" x14ac:dyDescent="0.25">
      <c r="B1265" s="23"/>
    </row>
    <row r="1266" spans="2:2" x14ac:dyDescent="0.25">
      <c r="B1266" s="23"/>
    </row>
    <row r="1267" spans="2:2" x14ac:dyDescent="0.25">
      <c r="B1267" s="23"/>
    </row>
    <row r="1268" spans="2:2" x14ac:dyDescent="0.25">
      <c r="B1268" s="23"/>
    </row>
    <row r="1269" spans="2:2" x14ac:dyDescent="0.25">
      <c r="B1269" s="23"/>
    </row>
    <row r="1270" spans="2:2" x14ac:dyDescent="0.25">
      <c r="B1270" s="23"/>
    </row>
    <row r="1271" spans="2:2" x14ac:dyDescent="0.25">
      <c r="B1271" s="23"/>
    </row>
    <row r="1272" spans="2:2" x14ac:dyDescent="0.25">
      <c r="B1272" s="23"/>
    </row>
    <row r="1273" spans="2:2" x14ac:dyDescent="0.25">
      <c r="B1273" s="23"/>
    </row>
    <row r="1274" spans="2:2" x14ac:dyDescent="0.25">
      <c r="B1274" s="23"/>
    </row>
    <row r="1275" spans="2:2" x14ac:dyDescent="0.25">
      <c r="B1275" s="23"/>
    </row>
    <row r="1276" spans="2:2" x14ac:dyDescent="0.25">
      <c r="B1276" s="23"/>
    </row>
    <row r="1277" spans="2:2" x14ac:dyDescent="0.25">
      <c r="B1277" s="23"/>
    </row>
    <row r="1278" spans="2:2" x14ac:dyDescent="0.25">
      <c r="B1278" s="23"/>
    </row>
    <row r="1279" spans="2:2" x14ac:dyDescent="0.25">
      <c r="B1279" s="23"/>
    </row>
    <row r="1280" spans="2:2" x14ac:dyDescent="0.25">
      <c r="B1280" s="23"/>
    </row>
    <row r="1281" spans="2:2" x14ac:dyDescent="0.25">
      <c r="B1281" s="23"/>
    </row>
    <row r="1282" spans="2:2" x14ac:dyDescent="0.25">
      <c r="B1282" s="23"/>
    </row>
    <row r="1283" spans="2:2" x14ac:dyDescent="0.25">
      <c r="B1283" s="23"/>
    </row>
    <row r="1284" spans="2:2" x14ac:dyDescent="0.25">
      <c r="B1284" s="23"/>
    </row>
    <row r="1285" spans="2:2" x14ac:dyDescent="0.25">
      <c r="B1285" s="23"/>
    </row>
    <row r="1286" spans="2:2" x14ac:dyDescent="0.25">
      <c r="B1286" s="23"/>
    </row>
    <row r="1287" spans="2:2" x14ac:dyDescent="0.25">
      <c r="B1287" s="23"/>
    </row>
    <row r="1288" spans="2:2" x14ac:dyDescent="0.25">
      <c r="B1288" s="23"/>
    </row>
    <row r="1289" spans="2:2" x14ac:dyDescent="0.25">
      <c r="B1289" s="23"/>
    </row>
    <row r="1290" spans="2:2" x14ac:dyDescent="0.25">
      <c r="B1290" s="23"/>
    </row>
    <row r="1291" spans="2:2" x14ac:dyDescent="0.25">
      <c r="B1291" s="23"/>
    </row>
    <row r="1292" spans="2:2" x14ac:dyDescent="0.25">
      <c r="B1292" s="23"/>
    </row>
    <row r="1293" spans="2:2" x14ac:dyDescent="0.25">
      <c r="B1293" s="23"/>
    </row>
    <row r="1294" spans="2:2" x14ac:dyDescent="0.25">
      <c r="B1294" s="23"/>
    </row>
    <row r="1295" spans="2:2" x14ac:dyDescent="0.25">
      <c r="B1295" s="23"/>
    </row>
    <row r="1296" spans="2:2" x14ac:dyDescent="0.25">
      <c r="B1296" s="23"/>
    </row>
    <row r="1297" spans="2:2" x14ac:dyDescent="0.25">
      <c r="B1297" s="23"/>
    </row>
    <row r="1298" spans="2:2" x14ac:dyDescent="0.25">
      <c r="B1298" s="23"/>
    </row>
    <row r="1299" spans="2:2" x14ac:dyDescent="0.25">
      <c r="B1299" s="23"/>
    </row>
    <row r="1300" spans="2:2" x14ac:dyDescent="0.25">
      <c r="B1300" s="23"/>
    </row>
    <row r="1301" spans="2:2" x14ac:dyDescent="0.25">
      <c r="B1301" s="23"/>
    </row>
    <row r="1302" spans="2:2" x14ac:dyDescent="0.25">
      <c r="B1302" s="23"/>
    </row>
    <row r="1303" spans="2:2" x14ac:dyDescent="0.25">
      <c r="B1303" s="23"/>
    </row>
    <row r="1304" spans="2:2" x14ac:dyDescent="0.25">
      <c r="B1304" s="23"/>
    </row>
    <row r="1305" spans="2:2" x14ac:dyDescent="0.25">
      <c r="B1305" s="23"/>
    </row>
    <row r="1306" spans="2:2" x14ac:dyDescent="0.25">
      <c r="B1306" s="23"/>
    </row>
    <row r="1307" spans="2:2" x14ac:dyDescent="0.25">
      <c r="B1307" s="23"/>
    </row>
    <row r="1308" spans="2:2" x14ac:dyDescent="0.25">
      <c r="B1308" s="23"/>
    </row>
    <row r="1309" spans="2:2" x14ac:dyDescent="0.25">
      <c r="B1309" s="23"/>
    </row>
    <row r="1310" spans="2:2" x14ac:dyDescent="0.25">
      <c r="B1310" s="23"/>
    </row>
    <row r="1311" spans="2:2" x14ac:dyDescent="0.25">
      <c r="B1311" s="23"/>
    </row>
    <row r="1312" spans="2:2" x14ac:dyDescent="0.25">
      <c r="B1312" s="23"/>
    </row>
    <row r="1313" spans="2:2" x14ac:dyDescent="0.25">
      <c r="B1313" s="23"/>
    </row>
    <row r="1314" spans="2:2" x14ac:dyDescent="0.25">
      <c r="B1314" s="23"/>
    </row>
    <row r="1315" spans="2:2" x14ac:dyDescent="0.25">
      <c r="B1315" s="23"/>
    </row>
    <row r="1316" spans="2:2" x14ac:dyDescent="0.25">
      <c r="B1316" s="23"/>
    </row>
    <row r="1317" spans="2:2" x14ac:dyDescent="0.25">
      <c r="B1317" s="23"/>
    </row>
    <row r="1318" spans="2:2" x14ac:dyDescent="0.25">
      <c r="B1318" s="23"/>
    </row>
    <row r="1319" spans="2:2" x14ac:dyDescent="0.25">
      <c r="B1319" s="23"/>
    </row>
    <row r="1320" spans="2:2" x14ac:dyDescent="0.25">
      <c r="B1320" s="23"/>
    </row>
    <row r="1321" spans="2:2" x14ac:dyDescent="0.25">
      <c r="B1321" s="23"/>
    </row>
    <row r="1322" spans="2:2" x14ac:dyDescent="0.25">
      <c r="B1322" s="23"/>
    </row>
    <row r="1323" spans="2:2" x14ac:dyDescent="0.25">
      <c r="B1323" s="23"/>
    </row>
    <row r="1324" spans="2:2" x14ac:dyDescent="0.25">
      <c r="B1324" s="23"/>
    </row>
    <row r="1325" spans="2:2" x14ac:dyDescent="0.25">
      <c r="B1325" s="23"/>
    </row>
    <row r="1326" spans="2:2" x14ac:dyDescent="0.25">
      <c r="B1326" s="23"/>
    </row>
    <row r="1327" spans="2:2" x14ac:dyDescent="0.25">
      <c r="B1327" s="23"/>
    </row>
    <row r="1328" spans="2:2" x14ac:dyDescent="0.25">
      <c r="B1328" s="23"/>
    </row>
    <row r="1329" spans="2:2" x14ac:dyDescent="0.25">
      <c r="B1329" s="23"/>
    </row>
    <row r="1330" spans="2:2" x14ac:dyDescent="0.25">
      <c r="B1330" s="23"/>
    </row>
    <row r="1331" spans="2:2" x14ac:dyDescent="0.25">
      <c r="B1331" s="23"/>
    </row>
    <row r="1332" spans="2:2" x14ac:dyDescent="0.25">
      <c r="B1332" s="23"/>
    </row>
    <row r="1333" spans="2:2" x14ac:dyDescent="0.25">
      <c r="B1333" s="23"/>
    </row>
    <row r="1334" spans="2:2" x14ac:dyDescent="0.25">
      <c r="B1334" s="23"/>
    </row>
    <row r="1335" spans="2:2" x14ac:dyDescent="0.25">
      <c r="B1335" s="23"/>
    </row>
    <row r="1336" spans="2:2" x14ac:dyDescent="0.25">
      <c r="B1336" s="23"/>
    </row>
    <row r="1337" spans="2:2" x14ac:dyDescent="0.25">
      <c r="B1337" s="23"/>
    </row>
    <row r="1338" spans="2:2" x14ac:dyDescent="0.25">
      <c r="B1338" s="23"/>
    </row>
    <row r="1339" spans="2:2" x14ac:dyDescent="0.25">
      <c r="B1339" s="23"/>
    </row>
    <row r="1340" spans="2:2" x14ac:dyDescent="0.25">
      <c r="B1340" s="23"/>
    </row>
    <row r="1341" spans="2:2" x14ac:dyDescent="0.25">
      <c r="B1341" s="23"/>
    </row>
    <row r="1342" spans="2:2" x14ac:dyDescent="0.25">
      <c r="B1342" s="23"/>
    </row>
    <row r="1343" spans="2:2" x14ac:dyDescent="0.25">
      <c r="B1343" s="23"/>
    </row>
    <row r="1344" spans="2:2" x14ac:dyDescent="0.25">
      <c r="B1344" s="23"/>
    </row>
    <row r="1345" spans="2:2" x14ac:dyDescent="0.25">
      <c r="B1345" s="23"/>
    </row>
    <row r="1346" spans="2:2" x14ac:dyDescent="0.25">
      <c r="B1346" s="23"/>
    </row>
    <row r="1347" spans="2:2" x14ac:dyDescent="0.25">
      <c r="B1347" s="23"/>
    </row>
    <row r="1348" spans="2:2" x14ac:dyDescent="0.25">
      <c r="B1348" s="23"/>
    </row>
    <row r="1349" spans="2:2" x14ac:dyDescent="0.25">
      <c r="B1349" s="23"/>
    </row>
    <row r="1350" spans="2:2" x14ac:dyDescent="0.25">
      <c r="B1350" s="23"/>
    </row>
    <row r="1351" spans="2:2" x14ac:dyDescent="0.25">
      <c r="B1351" s="23"/>
    </row>
    <row r="1352" spans="2:2" x14ac:dyDescent="0.25">
      <c r="B1352" s="2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done</vt:lpstr>
      <vt:lpstr>todo</vt:lpstr>
      <vt:lpstr>Munka2</vt:lpstr>
      <vt:lpstr>Munka3</vt:lpstr>
    </vt:vector>
  </TitlesOfParts>
  <Company>Generali-Providencia Zrt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Maczó Péter Miklós</dc:creator>
  <cp:lastModifiedBy>Maczó Péter Miklós</cp:lastModifiedBy>
  <dcterms:created xsi:type="dcterms:W3CDTF">2013-09-09T06:37:54Z</dcterms:created>
  <dcterms:modified xsi:type="dcterms:W3CDTF">2013-10-22T15:02:24Z</dcterms:modified>
</cp:coreProperties>
</file>